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studium\DA\统计学处理结果\"/>
    </mc:Choice>
  </mc:AlternateContent>
  <xr:revisionPtr revIDLastSave="0" documentId="13_ncr:1_{ACFE7AB7-3961-4DFB-8DF5-31ACB83EF9D8}" xr6:coauthVersionLast="47" xr6:coauthVersionMax="47" xr10:uidLastSave="{00000000-0000-0000-0000-000000000000}"/>
  <bookViews>
    <workbookView xWindow="30528" yWindow="1044" windowWidth="23232" windowHeight="11292" firstSheet="3" activeTab="6" xr2:uid="{00000000-000D-0000-FFFF-FFFF00000000}"/>
  </bookViews>
  <sheets>
    <sheet name="S1 Datalog+Results" sheetId="1" r:id="rId1"/>
    <sheet name="S2 Datalog + Results" sheetId="2" r:id="rId2"/>
    <sheet name="S3 Datalog + Results" sheetId="3" r:id="rId3"/>
    <sheet name="S4 Datalog + Results" sheetId="4" r:id="rId4"/>
    <sheet name="guodubiaoge" sheetId="5" r:id="rId5"/>
    <sheet name="Stat" sheetId="6" r:id="rId6"/>
    <sheet name="Stat H3" sheetId="9" r:id="rId7"/>
  </sheets>
  <externalReferences>
    <externalReference r:id="rId8"/>
    <externalReference r:id="rId9"/>
    <externalReference r:id="rId10"/>
    <externalReference r:id="rId11"/>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3" i="6" l="1"/>
  <c r="BQ4" i="6"/>
  <c r="BQ5" i="6"/>
  <c r="BQ6" i="6"/>
  <c r="BQ7" i="6"/>
  <c r="BQ8" i="6"/>
  <c r="BQ9" i="6"/>
  <c r="BQ10" i="6"/>
  <c r="BQ11" i="6"/>
  <c r="BQ12" i="6"/>
  <c r="BQ13" i="6"/>
  <c r="BQ14" i="6"/>
  <c r="BQ15" i="6"/>
  <c r="BQ16" i="6"/>
  <c r="BQ17" i="6"/>
  <c r="BQ18" i="6"/>
  <c r="BQ19" i="6"/>
  <c r="BQ20" i="6"/>
  <c r="BQ21" i="6"/>
  <c r="BQ22" i="6"/>
  <c r="BQ23" i="6"/>
  <c r="BQ24" i="6"/>
  <c r="BQ25" i="6"/>
  <c r="CG25" i="6" s="1"/>
  <c r="BQ26" i="6"/>
  <c r="BQ2" i="6"/>
  <c r="BP3" i="6"/>
  <c r="BP4" i="6"/>
  <c r="CF4" i="6" s="1"/>
  <c r="BP5" i="6"/>
  <c r="BP6" i="6"/>
  <c r="BP7" i="6"/>
  <c r="BP8" i="6"/>
  <c r="BP9" i="6"/>
  <c r="BP10" i="6"/>
  <c r="BP11" i="6"/>
  <c r="BP12" i="6"/>
  <c r="CF22" i="6" s="1"/>
  <c r="BP13" i="6"/>
  <c r="BP14" i="6"/>
  <c r="BP15" i="6"/>
  <c r="BP16" i="6"/>
  <c r="CF16" i="6" s="1"/>
  <c r="BP17" i="6"/>
  <c r="BP18" i="6"/>
  <c r="CF18" i="6" s="1"/>
  <c r="BP19" i="6"/>
  <c r="BP20" i="6"/>
  <c r="BP21" i="6"/>
  <c r="BP22" i="6"/>
  <c r="BP23" i="6"/>
  <c r="BP24" i="6"/>
  <c r="BP25" i="6"/>
  <c r="BP26" i="6"/>
  <c r="BP2" i="6"/>
  <c r="CF2" i="6" s="1"/>
  <c r="BO3" i="6"/>
  <c r="BO4" i="6"/>
  <c r="BO5" i="6"/>
  <c r="BO6" i="6"/>
  <c r="BO7" i="6"/>
  <c r="BO8" i="6"/>
  <c r="BO9" i="6"/>
  <c r="BO10" i="6"/>
  <c r="BO11" i="6"/>
  <c r="CE21" i="6" s="1"/>
  <c r="BO12" i="6"/>
  <c r="BO13" i="6"/>
  <c r="BO14" i="6"/>
  <c r="BO15" i="6"/>
  <c r="BO16" i="6"/>
  <c r="BO17" i="6"/>
  <c r="BO18" i="6"/>
  <c r="BO19" i="6"/>
  <c r="BO20" i="6"/>
  <c r="BO21" i="6"/>
  <c r="BO22" i="6"/>
  <c r="BO23" i="6"/>
  <c r="BO24" i="6"/>
  <c r="BO25" i="6"/>
  <c r="BO26" i="6"/>
  <c r="BO2" i="6"/>
  <c r="BN3" i="6"/>
  <c r="BN4" i="6"/>
  <c r="BN5" i="6"/>
  <c r="BN6" i="6"/>
  <c r="BN7" i="6"/>
  <c r="BN8" i="6"/>
  <c r="BN9" i="6"/>
  <c r="BN10" i="6"/>
  <c r="CD20" i="6" s="1"/>
  <c r="BN11" i="6"/>
  <c r="BN12" i="6"/>
  <c r="BN13" i="6"/>
  <c r="BN14" i="6"/>
  <c r="BN15" i="6"/>
  <c r="BN16" i="6"/>
  <c r="BN17" i="6"/>
  <c r="BN18" i="6"/>
  <c r="BN19" i="6"/>
  <c r="BN20" i="6"/>
  <c r="BN21" i="6"/>
  <c r="BN22" i="6"/>
  <c r="BN23" i="6"/>
  <c r="BN24" i="6"/>
  <c r="BN25" i="6"/>
  <c r="BN26" i="6"/>
  <c r="BN2" i="6"/>
  <c r="CK14" i="6"/>
  <c r="CK26" i="6"/>
  <c r="CJ13" i="6"/>
  <c r="CJ25" i="6"/>
  <c r="CG5" i="6"/>
  <c r="CG6" i="6"/>
  <c r="CG9" i="6"/>
  <c r="CG10" i="6"/>
  <c r="CG12" i="6"/>
  <c r="CG14" i="6"/>
  <c r="CG17" i="6"/>
  <c r="CG19" i="6"/>
  <c r="CG21" i="6"/>
  <c r="CG22" i="6"/>
  <c r="CG24" i="6"/>
  <c r="CG26" i="6"/>
  <c r="CF3" i="6"/>
  <c r="CF7" i="6"/>
  <c r="CF8" i="6"/>
  <c r="CF10" i="6"/>
  <c r="CF11" i="6"/>
  <c r="CF13" i="6"/>
  <c r="CF15" i="6"/>
  <c r="CF20" i="6"/>
  <c r="CF23" i="6"/>
  <c r="CF25" i="6"/>
  <c r="CC9" i="6"/>
  <c r="CO9" i="6" s="1"/>
  <c r="CC10" i="6"/>
  <c r="CO10" i="6" s="1"/>
  <c r="CC14" i="6"/>
  <c r="CO14" i="6" s="1"/>
  <c r="CC21" i="6"/>
  <c r="CO21" i="6" s="1"/>
  <c r="CC22" i="6"/>
  <c r="CO22" i="6" s="1"/>
  <c r="CC26" i="6"/>
  <c r="CO26" i="6" s="1"/>
  <c r="CB7" i="6"/>
  <c r="CJ7" i="6" s="1"/>
  <c r="CB8" i="6"/>
  <c r="CN8" i="6" s="1"/>
  <c r="CB13" i="6"/>
  <c r="CN13" i="6" s="1"/>
  <c r="CB20" i="6"/>
  <c r="CN20" i="6" s="1"/>
  <c r="CB25" i="6"/>
  <c r="CN25" i="6" s="1"/>
  <c r="BY27" i="6"/>
  <c r="BX27" i="6"/>
  <c r="BX3" i="6"/>
  <c r="BX8" i="6"/>
  <c r="BX15" i="6"/>
  <c r="BX20" i="6"/>
  <c r="BX2" i="6"/>
  <c r="BU17" i="6"/>
  <c r="BM3" i="6"/>
  <c r="CC3" i="6" s="1"/>
  <c r="BM4" i="6"/>
  <c r="CC4" i="6" s="1"/>
  <c r="BM5" i="6"/>
  <c r="CC5" i="6" s="1"/>
  <c r="BM6" i="6"/>
  <c r="CC6" i="6" s="1"/>
  <c r="BM7" i="6"/>
  <c r="CC7" i="6" s="1"/>
  <c r="BM8" i="6"/>
  <c r="BM9" i="6"/>
  <c r="BM10" i="6"/>
  <c r="BM11" i="6"/>
  <c r="CC11" i="6" s="1"/>
  <c r="BM12" i="6"/>
  <c r="CC12" i="6" s="1"/>
  <c r="BM13" i="6"/>
  <c r="BM14" i="6"/>
  <c r="BM15" i="6"/>
  <c r="CC15" i="6" s="1"/>
  <c r="BM16" i="6"/>
  <c r="CC16" i="6" s="1"/>
  <c r="BM17" i="6"/>
  <c r="CC17" i="6" s="1"/>
  <c r="BM18" i="6"/>
  <c r="CC18" i="6" s="1"/>
  <c r="BM19" i="6"/>
  <c r="CC19" i="6" s="1"/>
  <c r="BM20" i="6"/>
  <c r="BM21" i="6"/>
  <c r="BM22" i="6"/>
  <c r="BM23" i="6"/>
  <c r="CC23" i="6" s="1"/>
  <c r="BM24" i="6"/>
  <c r="CC24" i="6" s="1"/>
  <c r="BM25" i="6"/>
  <c r="BM26" i="6"/>
  <c r="BM2" i="6"/>
  <c r="CC2" i="6" s="1"/>
  <c r="BL3" i="6"/>
  <c r="CB3" i="6" s="1"/>
  <c r="BL4" i="6"/>
  <c r="CB4" i="6" s="1"/>
  <c r="BL5" i="6"/>
  <c r="CB5" i="6" s="1"/>
  <c r="BL6" i="6"/>
  <c r="CB6" i="6" s="1"/>
  <c r="BL7" i="6"/>
  <c r="BL8" i="6"/>
  <c r="BL9" i="6"/>
  <c r="BL10" i="6"/>
  <c r="CB10" i="6" s="1"/>
  <c r="BL11" i="6"/>
  <c r="CB11" i="6" s="1"/>
  <c r="BL12" i="6"/>
  <c r="BL13" i="6"/>
  <c r="BL14" i="6"/>
  <c r="CB14" i="6" s="1"/>
  <c r="BL15" i="6"/>
  <c r="CB15" i="6" s="1"/>
  <c r="BL16" i="6"/>
  <c r="CB16" i="6" s="1"/>
  <c r="BL17" i="6"/>
  <c r="CB17" i="6" s="1"/>
  <c r="BL18" i="6"/>
  <c r="CB18" i="6" s="1"/>
  <c r="BL19" i="6"/>
  <c r="BL20" i="6"/>
  <c r="BL21" i="6"/>
  <c r="BL22" i="6"/>
  <c r="CB22" i="6" s="1"/>
  <c r="BL23" i="6"/>
  <c r="CB23" i="6" s="1"/>
  <c r="BL24" i="6"/>
  <c r="BL25" i="6"/>
  <c r="BL26" i="6"/>
  <c r="CB26" i="6" s="1"/>
  <c r="BL2" i="6"/>
  <c r="CB2" i="6" s="1"/>
  <c r="BK3" i="6"/>
  <c r="CA3" i="6" s="1"/>
  <c r="BK4" i="6"/>
  <c r="CA4" i="6" s="1"/>
  <c r="BK5" i="6"/>
  <c r="CA5" i="6" s="1"/>
  <c r="BK6" i="6"/>
  <c r="BK7" i="6"/>
  <c r="BK8" i="6"/>
  <c r="BK9" i="6"/>
  <c r="CA9" i="6" s="1"/>
  <c r="BK10" i="6"/>
  <c r="CA10" i="6" s="1"/>
  <c r="BK11" i="6"/>
  <c r="BK12" i="6"/>
  <c r="BK13" i="6"/>
  <c r="CA13" i="6" s="1"/>
  <c r="BK14" i="6"/>
  <c r="CA14" i="6" s="1"/>
  <c r="BK15" i="6"/>
  <c r="CA15" i="6" s="1"/>
  <c r="BK16" i="6"/>
  <c r="CA16" i="6" s="1"/>
  <c r="BK17" i="6"/>
  <c r="CA17" i="6" s="1"/>
  <c r="BK18" i="6"/>
  <c r="BK19" i="6"/>
  <c r="BK20" i="6"/>
  <c r="BK21" i="6"/>
  <c r="CA21" i="6" s="1"/>
  <c r="BK22" i="6"/>
  <c r="CA22" i="6" s="1"/>
  <c r="BK23" i="6"/>
  <c r="BK24" i="6"/>
  <c r="BK25" i="6"/>
  <c r="CA25" i="6" s="1"/>
  <c r="BK26" i="6"/>
  <c r="CA26" i="6" s="1"/>
  <c r="BK2" i="6"/>
  <c r="CA2" i="6" s="1"/>
  <c r="BJ3" i="6"/>
  <c r="BZ3" i="6" s="1"/>
  <c r="BJ4" i="6"/>
  <c r="BZ4" i="6" s="1"/>
  <c r="BJ5" i="6"/>
  <c r="BJ6" i="6"/>
  <c r="BJ7" i="6"/>
  <c r="BJ8" i="6"/>
  <c r="BZ8" i="6" s="1"/>
  <c r="BJ9" i="6"/>
  <c r="BZ9" i="6" s="1"/>
  <c r="BJ10" i="6"/>
  <c r="BJ11" i="6"/>
  <c r="BZ11" i="6" s="1"/>
  <c r="BJ12" i="6"/>
  <c r="BZ12" i="6" s="1"/>
  <c r="BJ13" i="6"/>
  <c r="BZ13" i="6" s="1"/>
  <c r="BJ14" i="6"/>
  <c r="BZ14" i="6" s="1"/>
  <c r="BJ15" i="6"/>
  <c r="BZ15" i="6" s="1"/>
  <c r="BJ16" i="6"/>
  <c r="BZ16" i="6" s="1"/>
  <c r="BJ17" i="6"/>
  <c r="BJ18" i="6"/>
  <c r="BJ19" i="6"/>
  <c r="BJ20" i="6"/>
  <c r="BZ20" i="6" s="1"/>
  <c r="BJ21" i="6"/>
  <c r="BZ21" i="6" s="1"/>
  <c r="BJ22" i="6"/>
  <c r="BJ23" i="6"/>
  <c r="BZ23" i="6" s="1"/>
  <c r="BJ24" i="6"/>
  <c r="BZ24" i="6" s="1"/>
  <c r="BJ25" i="6"/>
  <c r="BZ25" i="6" s="1"/>
  <c r="BJ26" i="6"/>
  <c r="BZ26" i="6" s="1"/>
  <c r="CL26" i="6" s="1"/>
  <c r="BJ2" i="6"/>
  <c r="BZ2" i="6" s="1"/>
  <c r="BI3" i="6"/>
  <c r="BY3" i="6" s="1"/>
  <c r="BI4" i="6"/>
  <c r="BY4" i="6" s="1"/>
  <c r="BI5" i="6"/>
  <c r="BY5" i="6" s="1"/>
  <c r="BI6" i="6"/>
  <c r="BY6" i="6" s="1"/>
  <c r="BI7" i="6"/>
  <c r="BY7" i="6" s="1"/>
  <c r="BI8" i="6"/>
  <c r="BY8" i="6" s="1"/>
  <c r="BI9" i="6"/>
  <c r="BY9" i="6" s="1"/>
  <c r="BI10" i="6"/>
  <c r="BY10" i="6" s="1"/>
  <c r="BI11" i="6"/>
  <c r="BY11" i="6" s="1"/>
  <c r="BI12" i="6"/>
  <c r="BY12" i="6" s="1"/>
  <c r="BI13" i="6"/>
  <c r="BY13" i="6" s="1"/>
  <c r="BI14" i="6"/>
  <c r="BY14" i="6" s="1"/>
  <c r="BI15" i="6"/>
  <c r="BY15" i="6" s="1"/>
  <c r="BI16" i="6"/>
  <c r="BY16" i="6" s="1"/>
  <c r="BI17" i="6"/>
  <c r="BY17" i="6" s="1"/>
  <c r="BI18" i="6"/>
  <c r="BY18" i="6" s="1"/>
  <c r="BI19" i="6"/>
  <c r="BY19" i="6" s="1"/>
  <c r="BI20" i="6"/>
  <c r="BY20" i="6" s="1"/>
  <c r="BI21" i="6"/>
  <c r="BY21" i="6" s="1"/>
  <c r="BI22" i="6"/>
  <c r="BY22" i="6" s="1"/>
  <c r="BI23" i="6"/>
  <c r="BY23" i="6" s="1"/>
  <c r="BI24" i="6"/>
  <c r="BY24" i="6" s="1"/>
  <c r="BI25" i="6"/>
  <c r="BY25" i="6" s="1"/>
  <c r="BI26" i="6"/>
  <c r="BY26" i="6" s="1"/>
  <c r="BI2" i="6"/>
  <c r="BH3" i="6"/>
  <c r="BH4" i="6"/>
  <c r="BX4" i="6" s="1"/>
  <c r="BH5" i="6"/>
  <c r="BX5" i="6" s="1"/>
  <c r="BH6" i="6"/>
  <c r="BX6" i="6" s="1"/>
  <c r="BH7" i="6"/>
  <c r="BX7" i="6" s="1"/>
  <c r="BH8" i="6"/>
  <c r="BH9" i="6"/>
  <c r="BX9" i="6" s="1"/>
  <c r="BH10" i="6"/>
  <c r="BX10" i="6" s="1"/>
  <c r="BH11" i="6"/>
  <c r="BX11" i="6" s="1"/>
  <c r="BH12" i="6"/>
  <c r="BX12" i="6" s="1"/>
  <c r="BH13" i="6"/>
  <c r="BX13" i="6" s="1"/>
  <c r="BH14" i="6"/>
  <c r="BH15" i="6"/>
  <c r="BH16" i="6"/>
  <c r="BX16" i="6" s="1"/>
  <c r="BH17" i="6"/>
  <c r="BX17" i="6" s="1"/>
  <c r="BH18" i="6"/>
  <c r="BX18" i="6" s="1"/>
  <c r="BH19" i="6"/>
  <c r="BX19" i="6" s="1"/>
  <c r="BH20" i="6"/>
  <c r="BH21" i="6"/>
  <c r="BX21" i="6" s="1"/>
  <c r="BH22" i="6"/>
  <c r="BX22" i="6" s="1"/>
  <c r="BH23" i="6"/>
  <c r="BX23" i="6" s="1"/>
  <c r="BH24" i="6"/>
  <c r="BX24" i="6" s="1"/>
  <c r="BH25" i="6"/>
  <c r="BX25" i="6" s="1"/>
  <c r="BH26" i="6"/>
  <c r="BH2" i="6"/>
  <c r="BG3" i="6"/>
  <c r="BW3" i="6" s="1"/>
  <c r="BG4" i="6"/>
  <c r="BW4" i="6" s="1"/>
  <c r="BG5" i="6"/>
  <c r="BW5" i="6" s="1"/>
  <c r="BG6" i="6"/>
  <c r="BW6" i="6" s="1"/>
  <c r="BG7" i="6"/>
  <c r="BG8" i="6"/>
  <c r="BW8" i="6" s="1"/>
  <c r="BG9" i="6"/>
  <c r="BW9" i="6" s="1"/>
  <c r="BG10" i="6"/>
  <c r="BW10" i="6" s="1"/>
  <c r="BG11" i="6"/>
  <c r="BW11" i="6" s="1"/>
  <c r="BG12" i="6"/>
  <c r="BW12" i="6" s="1"/>
  <c r="BG13" i="6"/>
  <c r="BG14" i="6"/>
  <c r="BG15" i="6"/>
  <c r="BW15" i="6" s="1"/>
  <c r="BG16" i="6"/>
  <c r="BW16" i="6" s="1"/>
  <c r="BG17" i="6"/>
  <c r="BW17" i="6" s="1"/>
  <c r="BG18" i="6"/>
  <c r="BW18" i="6" s="1"/>
  <c r="BG19" i="6"/>
  <c r="BG20" i="6"/>
  <c r="BW20" i="6" s="1"/>
  <c r="BG21" i="6"/>
  <c r="BW21" i="6" s="1"/>
  <c r="BG22" i="6"/>
  <c r="BW22" i="6" s="1"/>
  <c r="BG23" i="6"/>
  <c r="BW23" i="6" s="1"/>
  <c r="BG24" i="6"/>
  <c r="BW24" i="6" s="1"/>
  <c r="BG25" i="6"/>
  <c r="BG26" i="6"/>
  <c r="BG2" i="6"/>
  <c r="BW7" i="6" s="1"/>
  <c r="BF3" i="6"/>
  <c r="BV3" i="6" s="1"/>
  <c r="BF4" i="6"/>
  <c r="BV4" i="6" s="1"/>
  <c r="BF5" i="6"/>
  <c r="BV5" i="6" s="1"/>
  <c r="BF6" i="6"/>
  <c r="BF7" i="6"/>
  <c r="BV7" i="6" s="1"/>
  <c r="BF8" i="6"/>
  <c r="BV8" i="6" s="1"/>
  <c r="BF9" i="6"/>
  <c r="BV9" i="6" s="1"/>
  <c r="BF10" i="6"/>
  <c r="BV10" i="6" s="1"/>
  <c r="BF11" i="6"/>
  <c r="BV11" i="6" s="1"/>
  <c r="BF12" i="6"/>
  <c r="BF13" i="6"/>
  <c r="BF14" i="6"/>
  <c r="BV14" i="6" s="1"/>
  <c r="BF15" i="6"/>
  <c r="BV15" i="6" s="1"/>
  <c r="BF16" i="6"/>
  <c r="BV16" i="6" s="1"/>
  <c r="BF17" i="6"/>
  <c r="BV17" i="6" s="1"/>
  <c r="BF18" i="6"/>
  <c r="BF19" i="6"/>
  <c r="BV19" i="6" s="1"/>
  <c r="BF20" i="6"/>
  <c r="BV20" i="6" s="1"/>
  <c r="BF21" i="6"/>
  <c r="BV21" i="6" s="1"/>
  <c r="BF22" i="6"/>
  <c r="BV22" i="6" s="1"/>
  <c r="BF23" i="6"/>
  <c r="BV23" i="6" s="1"/>
  <c r="BF24" i="6"/>
  <c r="BF25" i="6"/>
  <c r="BF26" i="6"/>
  <c r="BV26" i="6" s="1"/>
  <c r="BF2" i="6"/>
  <c r="BV6" i="6" s="1"/>
  <c r="BE3" i="6"/>
  <c r="BE4" i="6"/>
  <c r="BE5" i="6"/>
  <c r="BU5" i="6" s="1"/>
  <c r="BE6" i="6"/>
  <c r="BU6" i="6" s="1"/>
  <c r="BE7" i="6"/>
  <c r="BE8" i="6"/>
  <c r="BE9" i="6"/>
  <c r="BU9" i="6" s="1"/>
  <c r="BE10" i="6"/>
  <c r="BU10" i="6" s="1"/>
  <c r="BE11" i="6"/>
  <c r="BE12" i="6"/>
  <c r="BU12" i="6" s="1"/>
  <c r="BE13" i="6"/>
  <c r="BE14" i="6"/>
  <c r="BE15" i="6"/>
  <c r="BE16" i="6"/>
  <c r="BE17" i="6"/>
  <c r="BE18" i="6"/>
  <c r="BE19" i="6"/>
  <c r="BU19" i="6" s="1"/>
  <c r="BE20" i="6"/>
  <c r="BE21" i="6"/>
  <c r="BU21" i="6" s="1"/>
  <c r="BE22" i="6"/>
  <c r="BU22" i="6" s="1"/>
  <c r="BE23" i="6"/>
  <c r="BE24" i="6"/>
  <c r="BU24" i="6" s="1"/>
  <c r="BE25" i="6"/>
  <c r="BE26" i="6"/>
  <c r="BU26" i="6" s="1"/>
  <c r="BE2" i="6"/>
  <c r="BD3" i="6"/>
  <c r="BT3" i="6" s="1"/>
  <c r="BD4" i="6"/>
  <c r="BT4" i="6" s="1"/>
  <c r="BD5" i="6"/>
  <c r="BD6" i="6"/>
  <c r="BD7" i="6"/>
  <c r="BT7" i="6" s="1"/>
  <c r="BD8" i="6"/>
  <c r="BT8" i="6" s="1"/>
  <c r="BD9" i="6"/>
  <c r="BD10" i="6"/>
  <c r="BT10" i="6" s="1"/>
  <c r="BD11" i="6"/>
  <c r="BT11" i="6" s="1"/>
  <c r="BD12" i="6"/>
  <c r="BD13" i="6"/>
  <c r="BD14" i="6"/>
  <c r="BD15" i="6"/>
  <c r="BT15" i="6" s="1"/>
  <c r="BD16" i="6"/>
  <c r="BT16" i="6" s="1"/>
  <c r="BD17" i="6"/>
  <c r="BD18" i="6"/>
  <c r="BT18" i="6" s="1"/>
  <c r="BD19" i="6"/>
  <c r="BD20" i="6"/>
  <c r="BT20" i="6" s="1"/>
  <c r="BD21" i="6"/>
  <c r="BT21" i="6" s="1"/>
  <c r="BD22" i="6"/>
  <c r="BD23" i="6"/>
  <c r="BT23" i="6" s="1"/>
  <c r="BD24" i="6"/>
  <c r="BD25" i="6"/>
  <c r="BT25" i="6" s="1"/>
  <c r="BD26" i="6"/>
  <c r="BD2" i="6"/>
  <c r="BT2" i="6" s="1"/>
  <c r="BC3" i="6"/>
  <c r="BC4" i="6"/>
  <c r="BC5" i="6"/>
  <c r="BC6" i="6"/>
  <c r="BC7" i="6"/>
  <c r="BC8" i="6"/>
  <c r="BC9" i="6"/>
  <c r="BC10" i="6"/>
  <c r="BC11" i="6"/>
  <c r="BC12" i="6"/>
  <c r="BC13" i="6"/>
  <c r="BC14" i="6"/>
  <c r="BC15" i="6"/>
  <c r="BC16" i="6"/>
  <c r="BC17" i="6"/>
  <c r="BC18" i="6"/>
  <c r="BC19" i="6"/>
  <c r="BC20" i="6"/>
  <c r="BS20" i="6" s="1"/>
  <c r="CI20" i="6" s="1"/>
  <c r="BC21" i="6"/>
  <c r="BC22" i="6"/>
  <c r="BC23" i="6"/>
  <c r="BC24" i="6"/>
  <c r="BC25" i="6"/>
  <c r="BC26" i="6"/>
  <c r="BC2" i="6"/>
  <c r="BB3" i="6"/>
  <c r="BB4" i="6"/>
  <c r="BB5" i="6"/>
  <c r="BB6" i="6"/>
  <c r="BB7" i="6"/>
  <c r="BB8" i="6"/>
  <c r="BB9" i="6"/>
  <c r="BB10" i="6"/>
  <c r="BB11" i="6"/>
  <c r="BB12" i="6"/>
  <c r="BB13" i="6"/>
  <c r="BB14" i="6"/>
  <c r="BB15" i="6"/>
  <c r="BB16" i="6"/>
  <c r="BB17" i="6"/>
  <c r="BB18" i="6"/>
  <c r="BB19" i="6"/>
  <c r="BR19" i="6" s="1"/>
  <c r="CH19" i="6" s="1"/>
  <c r="BB20" i="6"/>
  <c r="BB21" i="6"/>
  <c r="BB22" i="6"/>
  <c r="BB23" i="6"/>
  <c r="BB24" i="6"/>
  <c r="BB25" i="6"/>
  <c r="BB26" i="6"/>
  <c r="BB2" i="6"/>
  <c r="AS3" i="5"/>
  <c r="AS4" i="5"/>
  <c r="AS5" i="5"/>
  <c r="AS6" i="5"/>
  <c r="AS7" i="5"/>
  <c r="AS8" i="5"/>
  <c r="AS9" i="5"/>
  <c r="AS10" i="5"/>
  <c r="AS11" i="5"/>
  <c r="AS12" i="5"/>
  <c r="AS13" i="5"/>
  <c r="AS14" i="5"/>
  <c r="AS15" i="5"/>
  <c r="AS16" i="5"/>
  <c r="AS17" i="5"/>
  <c r="AS18" i="5"/>
  <c r="AS19" i="5"/>
  <c r="AS20" i="5"/>
  <c r="AS21" i="5"/>
  <c r="AS22" i="5"/>
  <c r="AS23" i="5"/>
  <c r="AS24" i="5"/>
  <c r="AS25" i="5"/>
  <c r="AS26" i="5"/>
  <c r="AS2" i="5"/>
  <c r="AR3" i="5"/>
  <c r="AR4" i="5"/>
  <c r="AR5" i="5"/>
  <c r="AR6" i="5"/>
  <c r="AR7" i="5"/>
  <c r="AR8" i="5"/>
  <c r="AR9" i="5"/>
  <c r="AR10" i="5"/>
  <c r="AR11" i="5"/>
  <c r="AR12" i="5"/>
  <c r="AR13" i="5"/>
  <c r="AR14" i="5"/>
  <c r="AR15" i="5"/>
  <c r="AR16" i="5"/>
  <c r="AR17" i="5"/>
  <c r="AR18" i="5"/>
  <c r="AR19" i="5"/>
  <c r="AR20" i="5"/>
  <c r="AR21" i="5"/>
  <c r="AR22" i="5"/>
  <c r="AR23" i="5"/>
  <c r="AR24" i="5"/>
  <c r="AR25" i="5"/>
  <c r="AR26" i="5"/>
  <c r="AR2" i="5"/>
  <c r="AQ3" i="5"/>
  <c r="AQ4" i="5"/>
  <c r="AQ5" i="5"/>
  <c r="AQ6" i="5"/>
  <c r="AQ7" i="5"/>
  <c r="AQ8" i="5"/>
  <c r="AQ9" i="5"/>
  <c r="AQ10" i="5"/>
  <c r="AQ11" i="5"/>
  <c r="AQ12" i="5"/>
  <c r="AQ13" i="5"/>
  <c r="AQ14" i="5"/>
  <c r="AQ15" i="5"/>
  <c r="AQ16" i="5"/>
  <c r="AQ17" i="5"/>
  <c r="AQ18" i="5"/>
  <c r="AQ19" i="5"/>
  <c r="AQ20" i="5"/>
  <c r="AQ21" i="5"/>
  <c r="AQ22" i="5"/>
  <c r="AQ23" i="5"/>
  <c r="AQ24" i="5"/>
  <c r="AQ25" i="5"/>
  <c r="AQ26" i="5"/>
  <c r="AQ2" i="5"/>
  <c r="AP3" i="5"/>
  <c r="AP4" i="5"/>
  <c r="AP5" i="5"/>
  <c r="AP6" i="5"/>
  <c r="AP7" i="5"/>
  <c r="AP8" i="5"/>
  <c r="AP9" i="5"/>
  <c r="AP10" i="5"/>
  <c r="AP11" i="5"/>
  <c r="AP12" i="5"/>
  <c r="AP13" i="5"/>
  <c r="AP14" i="5"/>
  <c r="AP15" i="5"/>
  <c r="AP16" i="5"/>
  <c r="AP17" i="5"/>
  <c r="AP18" i="5"/>
  <c r="AP19" i="5"/>
  <c r="AP20" i="5"/>
  <c r="AP21" i="5"/>
  <c r="AP22" i="5"/>
  <c r="AP23" i="5"/>
  <c r="AP24" i="5"/>
  <c r="AP25" i="5"/>
  <c r="AP26" i="5"/>
  <c r="AP2" i="5"/>
  <c r="AO3" i="5"/>
  <c r="AO4" i="5"/>
  <c r="AO5" i="5"/>
  <c r="AO6" i="5"/>
  <c r="AO7" i="5"/>
  <c r="AO8" i="5"/>
  <c r="AO9" i="5"/>
  <c r="AO10" i="5"/>
  <c r="AO11" i="5"/>
  <c r="AO12" i="5"/>
  <c r="AO13" i="5"/>
  <c r="AO14" i="5"/>
  <c r="AO15" i="5"/>
  <c r="AO16" i="5"/>
  <c r="AO17" i="5"/>
  <c r="AO18" i="5"/>
  <c r="AO19" i="5"/>
  <c r="AO20" i="5"/>
  <c r="AO21" i="5"/>
  <c r="AO22" i="5"/>
  <c r="AO23" i="5"/>
  <c r="AO24" i="5"/>
  <c r="AO25" i="5"/>
  <c r="AO26" i="5"/>
  <c r="AO2" i="5"/>
  <c r="AN3" i="5"/>
  <c r="AN4" i="5"/>
  <c r="AN5" i="5"/>
  <c r="AN6" i="5"/>
  <c r="AN7" i="5"/>
  <c r="AN8" i="5"/>
  <c r="AN9" i="5"/>
  <c r="AN10" i="5"/>
  <c r="AN11" i="5"/>
  <c r="AN12" i="5"/>
  <c r="AN13" i="5"/>
  <c r="AN14" i="5"/>
  <c r="AN15" i="5"/>
  <c r="AN16" i="5"/>
  <c r="AN17" i="5"/>
  <c r="AN18" i="5"/>
  <c r="AN19" i="5"/>
  <c r="AN20" i="5"/>
  <c r="AN21" i="5"/>
  <c r="AN22" i="5"/>
  <c r="AN23" i="5"/>
  <c r="AN24" i="5"/>
  <c r="AN25" i="5"/>
  <c r="AN26" i="5"/>
  <c r="AN2" i="5"/>
  <c r="AM3" i="5"/>
  <c r="AM4" i="5"/>
  <c r="AM5" i="5"/>
  <c r="AM6" i="5"/>
  <c r="AM7" i="5"/>
  <c r="AM8" i="5"/>
  <c r="AM9" i="5"/>
  <c r="AM10" i="5"/>
  <c r="AM11" i="5"/>
  <c r="AM12" i="5"/>
  <c r="AM13" i="5"/>
  <c r="AM14" i="5"/>
  <c r="AM15" i="5"/>
  <c r="AM16" i="5"/>
  <c r="AM17" i="5"/>
  <c r="AM18" i="5"/>
  <c r="AM19" i="5"/>
  <c r="AM20" i="5"/>
  <c r="AM21" i="5"/>
  <c r="AM22" i="5"/>
  <c r="AM23" i="5"/>
  <c r="AM24" i="5"/>
  <c r="AM25" i="5"/>
  <c r="AM26" i="5"/>
  <c r="AM2" i="5"/>
  <c r="AL3" i="5"/>
  <c r="AL4" i="5"/>
  <c r="AL5" i="5"/>
  <c r="AL6" i="5"/>
  <c r="AL7" i="5"/>
  <c r="AL8" i="5"/>
  <c r="AL9" i="5"/>
  <c r="AL10" i="5"/>
  <c r="AL11" i="5"/>
  <c r="AL12" i="5"/>
  <c r="AL13" i="5"/>
  <c r="AL14" i="5"/>
  <c r="AL15" i="5"/>
  <c r="AL16" i="5"/>
  <c r="AL17" i="5"/>
  <c r="AL18" i="5"/>
  <c r="AL19" i="5"/>
  <c r="AL20" i="5"/>
  <c r="AL21" i="5"/>
  <c r="AL22" i="5"/>
  <c r="AL23" i="5"/>
  <c r="AL24" i="5"/>
  <c r="AL25" i="5"/>
  <c r="AL26" i="5"/>
  <c r="AL2" i="5"/>
  <c r="AK3" i="5"/>
  <c r="AK4" i="5"/>
  <c r="AK5" i="5"/>
  <c r="AK6" i="5"/>
  <c r="AK7" i="5"/>
  <c r="AK8" i="5"/>
  <c r="AK9" i="5"/>
  <c r="AK10" i="5"/>
  <c r="AK11" i="5"/>
  <c r="AK12" i="5"/>
  <c r="AK13" i="5"/>
  <c r="AK14" i="5"/>
  <c r="AK15" i="5"/>
  <c r="AK16" i="5"/>
  <c r="AK17" i="5"/>
  <c r="AK18" i="5"/>
  <c r="AK19" i="5"/>
  <c r="AK20" i="5"/>
  <c r="AK21" i="5"/>
  <c r="AK22" i="5"/>
  <c r="AK23" i="5"/>
  <c r="AK24" i="5"/>
  <c r="AK25" i="5"/>
  <c r="AK26" i="5"/>
  <c r="AK2" i="5"/>
  <c r="AJ3" i="5"/>
  <c r="AJ4" i="5"/>
  <c r="AJ5" i="5"/>
  <c r="AJ6" i="5"/>
  <c r="AJ7" i="5"/>
  <c r="AJ8" i="5"/>
  <c r="AJ9" i="5"/>
  <c r="AJ10" i="5"/>
  <c r="AJ11" i="5"/>
  <c r="AJ12" i="5"/>
  <c r="AJ13" i="5"/>
  <c r="AJ14" i="5"/>
  <c r="AJ15" i="5"/>
  <c r="AJ16" i="5"/>
  <c r="AJ17" i="5"/>
  <c r="AJ18" i="5"/>
  <c r="AJ19" i="5"/>
  <c r="AJ20" i="5"/>
  <c r="AJ21" i="5"/>
  <c r="AJ22" i="5"/>
  <c r="AJ23" i="5"/>
  <c r="AJ24" i="5"/>
  <c r="AJ25" i="5"/>
  <c r="AJ26" i="5"/>
  <c r="AJ2" i="5"/>
  <c r="AI3" i="5"/>
  <c r="AI4" i="5"/>
  <c r="AI5" i="5"/>
  <c r="AI6" i="5"/>
  <c r="AI7" i="5"/>
  <c r="AI8" i="5"/>
  <c r="AI9" i="5"/>
  <c r="AI10" i="5"/>
  <c r="AI11" i="5"/>
  <c r="AI12" i="5"/>
  <c r="AI13" i="5"/>
  <c r="AI14" i="5"/>
  <c r="AI15" i="5"/>
  <c r="AI16" i="5"/>
  <c r="AI17" i="5"/>
  <c r="AI18" i="5"/>
  <c r="AI19" i="5"/>
  <c r="AI20" i="5"/>
  <c r="AI21" i="5"/>
  <c r="AI22" i="5"/>
  <c r="AI23" i="5"/>
  <c r="AI24" i="5"/>
  <c r="AI25" i="5"/>
  <c r="AI26" i="5"/>
  <c r="AI2" i="5"/>
  <c r="AH3" i="5"/>
  <c r="AH4" i="5"/>
  <c r="AH5" i="5"/>
  <c r="AH6" i="5"/>
  <c r="AH7" i="5"/>
  <c r="AH8" i="5"/>
  <c r="AH9" i="5"/>
  <c r="AH10" i="5"/>
  <c r="AH11" i="5"/>
  <c r="AH12" i="5"/>
  <c r="AH13" i="5"/>
  <c r="AH14" i="5"/>
  <c r="AH15" i="5"/>
  <c r="AH16" i="5"/>
  <c r="AH17" i="5"/>
  <c r="AH18" i="5"/>
  <c r="AH19" i="5"/>
  <c r="AH20" i="5"/>
  <c r="AH21" i="5"/>
  <c r="AH22" i="5"/>
  <c r="AH23" i="5"/>
  <c r="AH24" i="5"/>
  <c r="AH25" i="5"/>
  <c r="AH26" i="5"/>
  <c r="AH2" i="5"/>
  <c r="AG3" i="5"/>
  <c r="AG4" i="5"/>
  <c r="AG5" i="5"/>
  <c r="AG6" i="5"/>
  <c r="AG7" i="5"/>
  <c r="AG8" i="5"/>
  <c r="AG9" i="5"/>
  <c r="AG10" i="5"/>
  <c r="AG11" i="5"/>
  <c r="AG12" i="5"/>
  <c r="AG13" i="5"/>
  <c r="AG14" i="5"/>
  <c r="AG15" i="5"/>
  <c r="AG16" i="5"/>
  <c r="AG17" i="5"/>
  <c r="AG18" i="5"/>
  <c r="AG19" i="5"/>
  <c r="AG20" i="5"/>
  <c r="AG21" i="5"/>
  <c r="AG22" i="5"/>
  <c r="AG23" i="5"/>
  <c r="AG24" i="5"/>
  <c r="AG25" i="5"/>
  <c r="AG26" i="5"/>
  <c r="AG2" i="5"/>
  <c r="AF3" i="5"/>
  <c r="AF4" i="5"/>
  <c r="AF5" i="5"/>
  <c r="AF6" i="5"/>
  <c r="AF7" i="5"/>
  <c r="AF8" i="5"/>
  <c r="AF9" i="5"/>
  <c r="AF10" i="5"/>
  <c r="AF11" i="5"/>
  <c r="AF12" i="5"/>
  <c r="AF13" i="5"/>
  <c r="AF14" i="5"/>
  <c r="AF15" i="5"/>
  <c r="AF16" i="5"/>
  <c r="AF17" i="5"/>
  <c r="AF18" i="5"/>
  <c r="AF19" i="5"/>
  <c r="AF20" i="5"/>
  <c r="AF21" i="5"/>
  <c r="AF22" i="5"/>
  <c r="AF23" i="5"/>
  <c r="AF24" i="5"/>
  <c r="AF25" i="5"/>
  <c r="AF26" i="5"/>
  <c r="AF2" i="5"/>
  <c r="AE3" i="5"/>
  <c r="AE4" i="5"/>
  <c r="AE5" i="5"/>
  <c r="AE6" i="5"/>
  <c r="AE7" i="5"/>
  <c r="AE8" i="5"/>
  <c r="AE9" i="5"/>
  <c r="AE10" i="5"/>
  <c r="AE11" i="5"/>
  <c r="AE12" i="5"/>
  <c r="AE13" i="5"/>
  <c r="AE14" i="5"/>
  <c r="AE15" i="5"/>
  <c r="AE16" i="5"/>
  <c r="AE17" i="5"/>
  <c r="AE18" i="5"/>
  <c r="AE19" i="5"/>
  <c r="AE20" i="5"/>
  <c r="AE21" i="5"/>
  <c r="AE22" i="5"/>
  <c r="AE23" i="5"/>
  <c r="AE24" i="5"/>
  <c r="AE25" i="5"/>
  <c r="AE26" i="5"/>
  <c r="AE2" i="5"/>
  <c r="AD3" i="5"/>
  <c r="AD4" i="5"/>
  <c r="AD5" i="5"/>
  <c r="AD6" i="5"/>
  <c r="AD7" i="5"/>
  <c r="AD8" i="5"/>
  <c r="AD9" i="5"/>
  <c r="AD10" i="5"/>
  <c r="AD11" i="5"/>
  <c r="AD12" i="5"/>
  <c r="AD13" i="5"/>
  <c r="AD14" i="5"/>
  <c r="AD15" i="5"/>
  <c r="AD16" i="5"/>
  <c r="AD17" i="5"/>
  <c r="AD18" i="5"/>
  <c r="AD19" i="5"/>
  <c r="AD20" i="5"/>
  <c r="AD21" i="5"/>
  <c r="AD22" i="5"/>
  <c r="AD23" i="5"/>
  <c r="AD24" i="5"/>
  <c r="AD25" i="5"/>
  <c r="AD26" i="5"/>
  <c r="AD2" i="5"/>
  <c r="G5" i="6"/>
  <c r="B5" i="6"/>
  <c r="AE3" i="6"/>
  <c r="AE4" i="6"/>
  <c r="AE5" i="6"/>
  <c r="AE6" i="6"/>
  <c r="AE7" i="6"/>
  <c r="AE8" i="6"/>
  <c r="AE9" i="6"/>
  <c r="AE10" i="6"/>
  <c r="AE11" i="6"/>
  <c r="AE12" i="6"/>
  <c r="AE13" i="6"/>
  <c r="AE14" i="6"/>
  <c r="AE15" i="6"/>
  <c r="AE16" i="6"/>
  <c r="AE17" i="6"/>
  <c r="AE18" i="6"/>
  <c r="AE19" i="6"/>
  <c r="AE20" i="6"/>
  <c r="AE21" i="6"/>
  <c r="AE22" i="6"/>
  <c r="AE23" i="6"/>
  <c r="AE24" i="6"/>
  <c r="AE25" i="6"/>
  <c r="AE26" i="6"/>
  <c r="AE2" i="6"/>
  <c r="AD3" i="6"/>
  <c r="AD4" i="6"/>
  <c r="AD5" i="6"/>
  <c r="AT5" i="6" s="1"/>
  <c r="AD6" i="6"/>
  <c r="AT6" i="6" s="1"/>
  <c r="AD7" i="6"/>
  <c r="AD8" i="6"/>
  <c r="AD9" i="6"/>
  <c r="AT9" i="6" s="1"/>
  <c r="AD10" i="6"/>
  <c r="AT10" i="6" s="1"/>
  <c r="AD11" i="6"/>
  <c r="AD12" i="6"/>
  <c r="AT12" i="6" s="1"/>
  <c r="AD13" i="6"/>
  <c r="AD14" i="6"/>
  <c r="AT14" i="6" s="1"/>
  <c r="AD15" i="6"/>
  <c r="AD16" i="6"/>
  <c r="AD17" i="6"/>
  <c r="AT17" i="6" s="1"/>
  <c r="AD18" i="6"/>
  <c r="AD19" i="6"/>
  <c r="AT19" i="6" s="1"/>
  <c r="AD20" i="6"/>
  <c r="AD21" i="6"/>
  <c r="AT21" i="6" s="1"/>
  <c r="AD22" i="6"/>
  <c r="AT22" i="6" s="1"/>
  <c r="AD23" i="6"/>
  <c r="AD24" i="6"/>
  <c r="AT24" i="6" s="1"/>
  <c r="AD25" i="6"/>
  <c r="AD26" i="6"/>
  <c r="AT26" i="6" s="1"/>
  <c r="AD2" i="6"/>
  <c r="AC3" i="6"/>
  <c r="AS3" i="6" s="1"/>
  <c r="AC4" i="6"/>
  <c r="AS4" i="6" s="1"/>
  <c r="AC5" i="6"/>
  <c r="AC6" i="6"/>
  <c r="AC7" i="6"/>
  <c r="AS7" i="6" s="1"/>
  <c r="AC8" i="6"/>
  <c r="AS8" i="6" s="1"/>
  <c r="AC9" i="6"/>
  <c r="AC10" i="6"/>
  <c r="AS10" i="6" s="1"/>
  <c r="AC11" i="6"/>
  <c r="AS11" i="6" s="1"/>
  <c r="AC12" i="6"/>
  <c r="AC13" i="6"/>
  <c r="AS13" i="6" s="1"/>
  <c r="AC14" i="6"/>
  <c r="AC15" i="6"/>
  <c r="AS15" i="6" s="1"/>
  <c r="AC16" i="6"/>
  <c r="AS16" i="6" s="1"/>
  <c r="AC17" i="6"/>
  <c r="AC18" i="6"/>
  <c r="AS18" i="6" s="1"/>
  <c r="AC19" i="6"/>
  <c r="AC20" i="6"/>
  <c r="AS20" i="6" s="1"/>
  <c r="AC21" i="6"/>
  <c r="AC22" i="6"/>
  <c r="AC23" i="6"/>
  <c r="AS23" i="6" s="1"/>
  <c r="AC24" i="6"/>
  <c r="AC25" i="6"/>
  <c r="AS25" i="6" s="1"/>
  <c r="AC26" i="6"/>
  <c r="AC2" i="6"/>
  <c r="AS2" i="6" s="1"/>
  <c r="AB3" i="6"/>
  <c r="AB4" i="6"/>
  <c r="AB5" i="6"/>
  <c r="AB6" i="6"/>
  <c r="AB7" i="6"/>
  <c r="AB8" i="6"/>
  <c r="AB9" i="6"/>
  <c r="AB10" i="6"/>
  <c r="AB11" i="6"/>
  <c r="AB12" i="6"/>
  <c r="AB13" i="6"/>
  <c r="AB14" i="6"/>
  <c r="AB15" i="6"/>
  <c r="AB16" i="6"/>
  <c r="AB17" i="6"/>
  <c r="AB18" i="6"/>
  <c r="AB19" i="6"/>
  <c r="AB20" i="6"/>
  <c r="AB21" i="6"/>
  <c r="AB22" i="6"/>
  <c r="AB23" i="6"/>
  <c r="AB24" i="6"/>
  <c r="AB25" i="6"/>
  <c r="AB26" i="6"/>
  <c r="AB2" i="6"/>
  <c r="AA3" i="6"/>
  <c r="AA4" i="6"/>
  <c r="AA5" i="6"/>
  <c r="AA6" i="6"/>
  <c r="AA7" i="6"/>
  <c r="AA8" i="6"/>
  <c r="AA9" i="6"/>
  <c r="AA10" i="6"/>
  <c r="AA11" i="6"/>
  <c r="AA12" i="6"/>
  <c r="AA13" i="6"/>
  <c r="AA14" i="6"/>
  <c r="AA15" i="6"/>
  <c r="AA16" i="6"/>
  <c r="AA17" i="6"/>
  <c r="AA18" i="6"/>
  <c r="AA19" i="6"/>
  <c r="AA20" i="6"/>
  <c r="AA21" i="6"/>
  <c r="AA22" i="6"/>
  <c r="AA23" i="6"/>
  <c r="AA24" i="6"/>
  <c r="AA25" i="6"/>
  <c r="AA26" i="6"/>
  <c r="CP26" i="6" s="1"/>
  <c r="AA2" i="6"/>
  <c r="Z3" i="6"/>
  <c r="Z4" i="6"/>
  <c r="Z5" i="6"/>
  <c r="Z6" i="6"/>
  <c r="Z7" i="6"/>
  <c r="Z8" i="6"/>
  <c r="Z9" i="6"/>
  <c r="Z10" i="6"/>
  <c r="Z11" i="6"/>
  <c r="Z12" i="6"/>
  <c r="Z13" i="6"/>
  <c r="Z14" i="6"/>
  <c r="Z15" i="6"/>
  <c r="Z16" i="6"/>
  <c r="Z17" i="6"/>
  <c r="Z18" i="6"/>
  <c r="Z19" i="6"/>
  <c r="Z20" i="6"/>
  <c r="Z21" i="6"/>
  <c r="Z22" i="6"/>
  <c r="Z23" i="6"/>
  <c r="Z24" i="6"/>
  <c r="Z25" i="6"/>
  <c r="Z26" i="6"/>
  <c r="Z2" i="6"/>
  <c r="Y3" i="6"/>
  <c r="Y4" i="6"/>
  <c r="Y5" i="6"/>
  <c r="Y6" i="6"/>
  <c r="Y7" i="6"/>
  <c r="Y8" i="6"/>
  <c r="Y9" i="6"/>
  <c r="Y10" i="6"/>
  <c r="Y11" i="6"/>
  <c r="Y12" i="6"/>
  <c r="Y13" i="6"/>
  <c r="Y14" i="6"/>
  <c r="Y15" i="6"/>
  <c r="Y16" i="6"/>
  <c r="Y17" i="6"/>
  <c r="Y18" i="6"/>
  <c r="Y19" i="6"/>
  <c r="Y20" i="6"/>
  <c r="Y21" i="6"/>
  <c r="Y22" i="6"/>
  <c r="Y23" i="6"/>
  <c r="Y24" i="6"/>
  <c r="Y25" i="6"/>
  <c r="Y26" i="6"/>
  <c r="Y2" i="6"/>
  <c r="X3" i="6"/>
  <c r="X4" i="6"/>
  <c r="X5" i="6"/>
  <c r="X6" i="6"/>
  <c r="X7" i="6"/>
  <c r="X8" i="6"/>
  <c r="X9" i="6"/>
  <c r="X10" i="6"/>
  <c r="X11" i="6"/>
  <c r="X12" i="6"/>
  <c r="X13" i="6"/>
  <c r="X14" i="6"/>
  <c r="X15" i="6"/>
  <c r="X16" i="6"/>
  <c r="X17" i="6"/>
  <c r="X18" i="6"/>
  <c r="X19" i="6"/>
  <c r="X20" i="6"/>
  <c r="X21" i="6"/>
  <c r="X22" i="6"/>
  <c r="X23" i="6"/>
  <c r="X24" i="6"/>
  <c r="X25" i="6"/>
  <c r="X26" i="6"/>
  <c r="X2" i="6"/>
  <c r="W3" i="6"/>
  <c r="W4" i="6"/>
  <c r="W5" i="6"/>
  <c r="W6" i="6"/>
  <c r="W7" i="6"/>
  <c r="W8" i="6"/>
  <c r="W9" i="6"/>
  <c r="W10" i="6"/>
  <c r="W11" i="6"/>
  <c r="W12" i="6"/>
  <c r="W13" i="6"/>
  <c r="W14" i="6"/>
  <c r="W15" i="6"/>
  <c r="W16" i="6"/>
  <c r="W17" i="6"/>
  <c r="W18" i="6"/>
  <c r="W19" i="6"/>
  <c r="W20" i="6"/>
  <c r="W21" i="6"/>
  <c r="W22" i="6"/>
  <c r="W23" i="6"/>
  <c r="W24" i="6"/>
  <c r="W25" i="6"/>
  <c r="W26" i="6"/>
  <c r="W2" i="6"/>
  <c r="V3" i="6"/>
  <c r="V4" i="6"/>
  <c r="V5" i="6"/>
  <c r="V6" i="6"/>
  <c r="V7" i="6"/>
  <c r="V8" i="6"/>
  <c r="V9" i="6"/>
  <c r="V10" i="6"/>
  <c r="V11" i="6"/>
  <c r="V12" i="6"/>
  <c r="V13" i="6"/>
  <c r="V14" i="6"/>
  <c r="V15" i="6"/>
  <c r="V16" i="6"/>
  <c r="V17" i="6"/>
  <c r="V18" i="6"/>
  <c r="V19" i="6"/>
  <c r="V20" i="6"/>
  <c r="V21" i="6"/>
  <c r="V22" i="6"/>
  <c r="V23" i="6"/>
  <c r="V24" i="6"/>
  <c r="V25" i="6"/>
  <c r="V26" i="6"/>
  <c r="V2" i="6"/>
  <c r="AC3" i="5"/>
  <c r="AC4" i="5"/>
  <c r="AC5" i="5"/>
  <c r="AC6" i="5"/>
  <c r="AC7" i="5"/>
  <c r="AC8" i="5"/>
  <c r="AC9" i="5"/>
  <c r="AC10" i="5"/>
  <c r="AC11" i="5"/>
  <c r="AC12" i="5"/>
  <c r="AC13" i="5"/>
  <c r="AC14" i="5"/>
  <c r="AC15" i="5"/>
  <c r="AC16" i="5"/>
  <c r="AC17" i="5"/>
  <c r="AC18" i="5"/>
  <c r="AC19" i="5"/>
  <c r="AC20" i="5"/>
  <c r="AC21" i="5"/>
  <c r="AC22" i="5"/>
  <c r="AC23" i="5"/>
  <c r="AC24" i="5"/>
  <c r="AC25" i="5"/>
  <c r="AC26" i="5"/>
  <c r="AC2" i="5"/>
  <c r="AB3" i="5"/>
  <c r="AB4" i="5"/>
  <c r="AB5" i="5"/>
  <c r="AB6" i="5"/>
  <c r="AB7" i="5"/>
  <c r="AB8" i="5"/>
  <c r="AB9" i="5"/>
  <c r="AB10" i="5"/>
  <c r="AB11" i="5"/>
  <c r="AB12" i="5"/>
  <c r="AB13" i="5"/>
  <c r="AB14" i="5"/>
  <c r="AB15" i="5"/>
  <c r="AB16" i="5"/>
  <c r="AB17" i="5"/>
  <c r="AB18" i="5"/>
  <c r="AB19" i="5"/>
  <c r="AB20" i="5"/>
  <c r="AB21" i="5"/>
  <c r="AB22" i="5"/>
  <c r="AB23" i="5"/>
  <c r="AB24" i="5"/>
  <c r="AB25" i="5"/>
  <c r="AB26" i="5"/>
  <c r="AB2" i="5"/>
  <c r="AA3" i="5"/>
  <c r="AA4" i="5"/>
  <c r="AA5" i="5"/>
  <c r="AA6" i="5"/>
  <c r="AA7" i="5"/>
  <c r="AA8" i="5"/>
  <c r="AA9" i="5"/>
  <c r="AA10" i="5"/>
  <c r="AA11" i="5"/>
  <c r="AA12" i="5"/>
  <c r="AA13" i="5"/>
  <c r="AA14" i="5"/>
  <c r="AA15" i="5"/>
  <c r="AA16" i="5"/>
  <c r="AA17" i="5"/>
  <c r="AA18" i="5"/>
  <c r="AA19" i="5"/>
  <c r="AA20" i="5"/>
  <c r="AA21" i="5"/>
  <c r="AA22" i="5"/>
  <c r="AA23" i="5"/>
  <c r="AA24" i="5"/>
  <c r="AA25" i="5"/>
  <c r="AA26" i="5"/>
  <c r="AA2" i="5"/>
  <c r="Z3" i="5"/>
  <c r="Z4" i="5"/>
  <c r="Z5" i="5"/>
  <c r="Z6" i="5"/>
  <c r="Z7" i="5"/>
  <c r="Z8" i="5"/>
  <c r="Z9" i="5"/>
  <c r="Z10" i="5"/>
  <c r="Z11" i="5"/>
  <c r="Z12" i="5"/>
  <c r="Z13" i="5"/>
  <c r="Z14" i="5"/>
  <c r="Z15" i="5"/>
  <c r="Z16" i="5"/>
  <c r="Z17" i="5"/>
  <c r="Z18" i="5"/>
  <c r="Z19" i="5"/>
  <c r="Z20" i="5"/>
  <c r="Z21" i="5"/>
  <c r="Z22" i="5"/>
  <c r="Z23" i="5"/>
  <c r="Z24" i="5"/>
  <c r="Z25" i="5"/>
  <c r="Z26" i="5"/>
  <c r="Z2" i="5"/>
  <c r="Y3" i="5"/>
  <c r="Y4" i="5"/>
  <c r="Y5" i="5"/>
  <c r="Y6" i="5"/>
  <c r="Y7" i="5"/>
  <c r="Y8" i="5"/>
  <c r="Y9" i="5"/>
  <c r="Y10" i="5"/>
  <c r="Y11" i="5"/>
  <c r="Y12" i="5"/>
  <c r="Y13" i="5"/>
  <c r="Y14" i="5"/>
  <c r="Y15" i="5"/>
  <c r="Y16" i="5"/>
  <c r="Y17" i="5"/>
  <c r="Y18" i="5"/>
  <c r="Y19" i="5"/>
  <c r="Y20" i="5"/>
  <c r="Y21" i="5"/>
  <c r="Y22" i="5"/>
  <c r="Y23" i="5"/>
  <c r="Y24" i="5"/>
  <c r="Y25" i="5"/>
  <c r="Y26" i="5"/>
  <c r="Y2" i="5"/>
  <c r="X3" i="5"/>
  <c r="X4" i="5"/>
  <c r="X5" i="5"/>
  <c r="X6" i="5"/>
  <c r="X7" i="5"/>
  <c r="X8" i="5"/>
  <c r="X9" i="5"/>
  <c r="X10" i="5"/>
  <c r="X11" i="5"/>
  <c r="X12" i="5"/>
  <c r="X13" i="5"/>
  <c r="X14" i="5"/>
  <c r="X15" i="5"/>
  <c r="X16" i="5"/>
  <c r="X17" i="5"/>
  <c r="X18" i="5"/>
  <c r="X19" i="5"/>
  <c r="X20" i="5"/>
  <c r="X21" i="5"/>
  <c r="X22" i="5"/>
  <c r="X23" i="5"/>
  <c r="X24" i="5"/>
  <c r="X25" i="5"/>
  <c r="X26" i="5"/>
  <c r="X2" i="5"/>
  <c r="W3" i="5"/>
  <c r="W4" i="5"/>
  <c r="W5" i="5"/>
  <c r="W6" i="5"/>
  <c r="W7" i="5"/>
  <c r="W8" i="5"/>
  <c r="W9" i="5"/>
  <c r="W10" i="5"/>
  <c r="W11" i="5"/>
  <c r="W12" i="5"/>
  <c r="W13" i="5"/>
  <c r="W14" i="5"/>
  <c r="W15" i="5"/>
  <c r="W16" i="5"/>
  <c r="W17" i="5"/>
  <c r="W18" i="5"/>
  <c r="W19" i="5"/>
  <c r="W20" i="5"/>
  <c r="W21" i="5"/>
  <c r="W22" i="5"/>
  <c r="W23" i="5"/>
  <c r="W24" i="5"/>
  <c r="W25" i="5"/>
  <c r="W26" i="5"/>
  <c r="W2" i="5"/>
  <c r="V3" i="5"/>
  <c r="V4" i="5"/>
  <c r="V5" i="5"/>
  <c r="V6" i="5"/>
  <c r="V7" i="5"/>
  <c r="V8" i="5"/>
  <c r="V9" i="5"/>
  <c r="V10" i="5"/>
  <c r="V11" i="5"/>
  <c r="V12" i="5"/>
  <c r="V13" i="5"/>
  <c r="V14" i="5"/>
  <c r="V15" i="5"/>
  <c r="V16" i="5"/>
  <c r="V17" i="5"/>
  <c r="V18" i="5"/>
  <c r="V19" i="5"/>
  <c r="V20" i="5"/>
  <c r="V21" i="5"/>
  <c r="V22" i="5"/>
  <c r="V23" i="5"/>
  <c r="V24" i="5"/>
  <c r="V25" i="5"/>
  <c r="V26" i="5"/>
  <c r="V2" i="5"/>
  <c r="U3" i="6"/>
  <c r="U4" i="6"/>
  <c r="U5" i="6"/>
  <c r="U6" i="6"/>
  <c r="U7" i="6"/>
  <c r="U8" i="6"/>
  <c r="U9" i="6"/>
  <c r="U10" i="6"/>
  <c r="U11" i="6"/>
  <c r="U12" i="6"/>
  <c r="U13" i="6"/>
  <c r="U14" i="6"/>
  <c r="U15" i="6"/>
  <c r="U16" i="6"/>
  <c r="U17" i="6"/>
  <c r="U18" i="6"/>
  <c r="U19" i="6"/>
  <c r="U20" i="6"/>
  <c r="U21" i="6"/>
  <c r="U22" i="6"/>
  <c r="U23" i="6"/>
  <c r="U24" i="6"/>
  <c r="U25" i="6"/>
  <c r="U26" i="6"/>
  <c r="U2" i="6"/>
  <c r="T3" i="6"/>
  <c r="T4" i="6"/>
  <c r="T5" i="6"/>
  <c r="T6" i="6"/>
  <c r="T7" i="6"/>
  <c r="T8" i="6"/>
  <c r="T9" i="6"/>
  <c r="T10" i="6"/>
  <c r="T11" i="6"/>
  <c r="T12" i="6"/>
  <c r="T13" i="6"/>
  <c r="T14" i="6"/>
  <c r="T15" i="6"/>
  <c r="T16" i="6"/>
  <c r="T17" i="6"/>
  <c r="T18" i="6"/>
  <c r="T19" i="6"/>
  <c r="T20" i="6"/>
  <c r="T21" i="6"/>
  <c r="T22" i="6"/>
  <c r="T23" i="6"/>
  <c r="T24" i="6"/>
  <c r="T25" i="6"/>
  <c r="T26" i="6"/>
  <c r="T2" i="6"/>
  <c r="S3" i="6"/>
  <c r="S4" i="6"/>
  <c r="S5" i="6"/>
  <c r="S6" i="6"/>
  <c r="S7" i="6"/>
  <c r="S8" i="6"/>
  <c r="S9" i="6"/>
  <c r="S10" i="6"/>
  <c r="S11" i="6"/>
  <c r="S12" i="6"/>
  <c r="S13" i="6"/>
  <c r="S14" i="6"/>
  <c r="S15" i="6"/>
  <c r="S16" i="6"/>
  <c r="S17" i="6"/>
  <c r="S18" i="6"/>
  <c r="S19" i="6"/>
  <c r="S20" i="6"/>
  <c r="S21" i="6"/>
  <c r="S22" i="6"/>
  <c r="S23" i="6"/>
  <c r="S24" i="6"/>
  <c r="S25" i="6"/>
  <c r="S26" i="6"/>
  <c r="S2" i="6"/>
  <c r="R3" i="6"/>
  <c r="R4" i="6"/>
  <c r="R5" i="6"/>
  <c r="R6" i="6"/>
  <c r="R7" i="6"/>
  <c r="R8" i="6"/>
  <c r="R9" i="6"/>
  <c r="R10" i="6"/>
  <c r="R11" i="6"/>
  <c r="R12" i="6"/>
  <c r="R13" i="6"/>
  <c r="R14" i="6"/>
  <c r="R15" i="6"/>
  <c r="R16" i="6"/>
  <c r="R17" i="6"/>
  <c r="R18" i="6"/>
  <c r="R19" i="6"/>
  <c r="R20" i="6"/>
  <c r="R21" i="6"/>
  <c r="R22" i="6"/>
  <c r="R23" i="6"/>
  <c r="R24" i="6"/>
  <c r="R25" i="6"/>
  <c r="R26" i="6"/>
  <c r="R2" i="6"/>
  <c r="Q3" i="6"/>
  <c r="Q4" i="6"/>
  <c r="Q5" i="6"/>
  <c r="Q6" i="6"/>
  <c r="Q7" i="6"/>
  <c r="Q8" i="6"/>
  <c r="Q9" i="6"/>
  <c r="Q10" i="6"/>
  <c r="Q11" i="6"/>
  <c r="Q12" i="6"/>
  <c r="Q13" i="6"/>
  <c r="Q14" i="6"/>
  <c r="Q15" i="6"/>
  <c r="Q16" i="6"/>
  <c r="Q17" i="6"/>
  <c r="Q18" i="6"/>
  <c r="Q19" i="6"/>
  <c r="Q20" i="6"/>
  <c r="Q21" i="6"/>
  <c r="Q22" i="6"/>
  <c r="Q23" i="6"/>
  <c r="Q24" i="6"/>
  <c r="Q25" i="6"/>
  <c r="Q26" i="6"/>
  <c r="Q2" i="6"/>
  <c r="U3" i="5"/>
  <c r="U4" i="5"/>
  <c r="U5" i="5"/>
  <c r="U6" i="5"/>
  <c r="U7" i="5"/>
  <c r="U8" i="5"/>
  <c r="U9" i="5"/>
  <c r="U10" i="5"/>
  <c r="U11" i="5"/>
  <c r="U12" i="5"/>
  <c r="U13" i="5"/>
  <c r="U14" i="5"/>
  <c r="U15" i="5"/>
  <c r="U16" i="5"/>
  <c r="U17" i="5"/>
  <c r="U18" i="5"/>
  <c r="U19" i="5"/>
  <c r="U20" i="5"/>
  <c r="U21" i="5"/>
  <c r="U22" i="5"/>
  <c r="U23" i="5"/>
  <c r="U24" i="5"/>
  <c r="U25" i="5"/>
  <c r="U26" i="5"/>
  <c r="U2" i="5"/>
  <c r="T3" i="5"/>
  <c r="T4" i="5"/>
  <c r="T5" i="5"/>
  <c r="T6" i="5"/>
  <c r="T7" i="5"/>
  <c r="T8" i="5"/>
  <c r="T9" i="5"/>
  <c r="T10" i="5"/>
  <c r="T11" i="5"/>
  <c r="T12" i="5"/>
  <c r="T13" i="5"/>
  <c r="T14" i="5"/>
  <c r="T15" i="5"/>
  <c r="T16" i="5"/>
  <c r="T17" i="5"/>
  <c r="T18" i="5"/>
  <c r="T19" i="5"/>
  <c r="T20" i="5"/>
  <c r="T21" i="5"/>
  <c r="T22" i="5"/>
  <c r="T23" i="5"/>
  <c r="T24" i="5"/>
  <c r="T25" i="5"/>
  <c r="T26" i="5"/>
  <c r="T2" i="5"/>
  <c r="S3" i="5"/>
  <c r="S4" i="5"/>
  <c r="S5" i="5"/>
  <c r="S6" i="5"/>
  <c r="S7" i="5"/>
  <c r="S8" i="5"/>
  <c r="S9" i="5"/>
  <c r="S10" i="5"/>
  <c r="S11" i="5"/>
  <c r="S12" i="5"/>
  <c r="S13" i="5"/>
  <c r="S14" i="5"/>
  <c r="S15" i="5"/>
  <c r="S16" i="5"/>
  <c r="S17" i="5"/>
  <c r="S18" i="5"/>
  <c r="S19" i="5"/>
  <c r="S20" i="5"/>
  <c r="S21" i="5"/>
  <c r="S22" i="5"/>
  <c r="S23" i="5"/>
  <c r="S24" i="5"/>
  <c r="S25" i="5"/>
  <c r="S26" i="5"/>
  <c r="S2" i="5"/>
  <c r="R3" i="5"/>
  <c r="R4" i="5"/>
  <c r="R5" i="5"/>
  <c r="R6" i="5"/>
  <c r="R7" i="5"/>
  <c r="R8" i="5"/>
  <c r="R9" i="5"/>
  <c r="R10" i="5"/>
  <c r="R11" i="5"/>
  <c r="R12" i="5"/>
  <c r="R13" i="5"/>
  <c r="R14" i="5"/>
  <c r="R15" i="5"/>
  <c r="R16" i="5"/>
  <c r="R17" i="5"/>
  <c r="R18" i="5"/>
  <c r="R19" i="5"/>
  <c r="R20" i="5"/>
  <c r="R21" i="5"/>
  <c r="R22" i="5"/>
  <c r="R23" i="5"/>
  <c r="R24" i="5"/>
  <c r="R25" i="5"/>
  <c r="R26" i="5"/>
  <c r="R2" i="5"/>
  <c r="P3" i="6"/>
  <c r="P4" i="6"/>
  <c r="P5" i="6"/>
  <c r="P6" i="6"/>
  <c r="P7" i="6"/>
  <c r="P8" i="6"/>
  <c r="P9" i="6"/>
  <c r="P10" i="6"/>
  <c r="P11" i="6"/>
  <c r="P12" i="6"/>
  <c r="P13" i="6"/>
  <c r="P14" i="6"/>
  <c r="P15" i="6"/>
  <c r="P16" i="6"/>
  <c r="P17" i="6"/>
  <c r="P18" i="6"/>
  <c r="P19" i="6"/>
  <c r="P20" i="6"/>
  <c r="P21" i="6"/>
  <c r="P22" i="6"/>
  <c r="P23" i="6"/>
  <c r="P24" i="6"/>
  <c r="P25" i="6"/>
  <c r="P26" i="6"/>
  <c r="P2" i="6"/>
  <c r="O3" i="6"/>
  <c r="O4" i="6"/>
  <c r="O5" i="6"/>
  <c r="AQ5" i="6" s="1"/>
  <c r="AW5" i="6" s="1"/>
  <c r="O6" i="6"/>
  <c r="AQ6" i="6" s="1"/>
  <c r="AW6" i="6" s="1"/>
  <c r="O7" i="6"/>
  <c r="O8" i="6"/>
  <c r="O9" i="6"/>
  <c r="AQ9" i="6" s="1"/>
  <c r="AW9" i="6" s="1"/>
  <c r="O10" i="6"/>
  <c r="AQ10" i="6" s="1"/>
  <c r="AW10" i="6" s="1"/>
  <c r="O11" i="6"/>
  <c r="O12" i="6"/>
  <c r="AQ12" i="6" s="1"/>
  <c r="AW12" i="6" s="1"/>
  <c r="O13" i="6"/>
  <c r="O14" i="6"/>
  <c r="AQ14" i="6" s="1"/>
  <c r="AW14" i="6" s="1"/>
  <c r="O15" i="6"/>
  <c r="O16" i="6"/>
  <c r="O17" i="6"/>
  <c r="AQ17" i="6" s="1"/>
  <c r="AW17" i="6" s="1"/>
  <c r="O18" i="6"/>
  <c r="O19" i="6"/>
  <c r="AQ19" i="6" s="1"/>
  <c r="AW19" i="6" s="1"/>
  <c r="O20" i="6"/>
  <c r="O21" i="6"/>
  <c r="AQ21" i="6" s="1"/>
  <c r="AW21" i="6" s="1"/>
  <c r="O22" i="6"/>
  <c r="AQ22" i="6" s="1"/>
  <c r="AW22" i="6" s="1"/>
  <c r="O23" i="6"/>
  <c r="O24" i="6"/>
  <c r="AQ24" i="6" s="1"/>
  <c r="AW24" i="6" s="1"/>
  <c r="O25" i="6"/>
  <c r="O26" i="6"/>
  <c r="AQ26" i="6" s="1"/>
  <c r="AW26" i="6" s="1"/>
  <c r="O2" i="6"/>
  <c r="N3" i="6"/>
  <c r="AP3" i="6" s="1"/>
  <c r="AV3" i="6" s="1"/>
  <c r="N4" i="6"/>
  <c r="AP4" i="6" s="1"/>
  <c r="AV4" i="6" s="1"/>
  <c r="N5" i="6"/>
  <c r="N6" i="6"/>
  <c r="N7" i="6"/>
  <c r="AP7" i="6" s="1"/>
  <c r="AV7" i="6" s="1"/>
  <c r="N8" i="6"/>
  <c r="AP8" i="6" s="1"/>
  <c r="AV8" i="6" s="1"/>
  <c r="N9" i="6"/>
  <c r="N10" i="6"/>
  <c r="AP10" i="6" s="1"/>
  <c r="AV10" i="6" s="1"/>
  <c r="N11" i="6"/>
  <c r="AP11" i="6" s="1"/>
  <c r="AV11" i="6" s="1"/>
  <c r="N12" i="6"/>
  <c r="N13" i="6"/>
  <c r="AP13" i="6" s="1"/>
  <c r="AV13" i="6" s="1"/>
  <c r="N14" i="6"/>
  <c r="N15" i="6"/>
  <c r="AP15" i="6" s="1"/>
  <c r="AV15" i="6" s="1"/>
  <c r="N16" i="6"/>
  <c r="AP16" i="6" s="1"/>
  <c r="AV16" i="6" s="1"/>
  <c r="N17" i="6"/>
  <c r="N18" i="6"/>
  <c r="AP18" i="6" s="1"/>
  <c r="AV18" i="6" s="1"/>
  <c r="N19" i="6"/>
  <c r="N20" i="6"/>
  <c r="AP20" i="6" s="1"/>
  <c r="AV20" i="6" s="1"/>
  <c r="N21" i="6"/>
  <c r="N22" i="6"/>
  <c r="N23" i="6"/>
  <c r="AP23" i="6" s="1"/>
  <c r="AV23" i="6" s="1"/>
  <c r="N24" i="6"/>
  <c r="N25" i="6"/>
  <c r="AP25" i="6" s="1"/>
  <c r="AV25" i="6" s="1"/>
  <c r="N26" i="6"/>
  <c r="N2" i="6"/>
  <c r="AP2" i="6" s="1"/>
  <c r="AV2" i="6" s="1"/>
  <c r="M3" i="6"/>
  <c r="M4" i="6"/>
  <c r="M5" i="6"/>
  <c r="M6" i="6"/>
  <c r="M7" i="6"/>
  <c r="M8" i="6"/>
  <c r="M9" i="6"/>
  <c r="M10" i="6"/>
  <c r="M11" i="6"/>
  <c r="M12" i="6"/>
  <c r="M13" i="6"/>
  <c r="M14" i="6"/>
  <c r="M15" i="6"/>
  <c r="M16" i="6"/>
  <c r="M17" i="6"/>
  <c r="M18" i="6"/>
  <c r="M19" i="6"/>
  <c r="M20" i="6"/>
  <c r="M21" i="6"/>
  <c r="M22" i="6"/>
  <c r="M23" i="6"/>
  <c r="M24" i="6"/>
  <c r="M25" i="6"/>
  <c r="M26" i="6"/>
  <c r="M2" i="6"/>
  <c r="L3" i="6"/>
  <c r="L4" i="6"/>
  <c r="L5" i="6"/>
  <c r="L6" i="6"/>
  <c r="L7" i="6"/>
  <c r="L8" i="6"/>
  <c r="L9" i="6"/>
  <c r="L10" i="6"/>
  <c r="L11" i="6"/>
  <c r="L12" i="6"/>
  <c r="L13" i="6"/>
  <c r="L14" i="6"/>
  <c r="L15" i="6"/>
  <c r="L16" i="6"/>
  <c r="L17" i="6"/>
  <c r="L18" i="6"/>
  <c r="L19" i="6"/>
  <c r="L20" i="6"/>
  <c r="L21" i="6"/>
  <c r="L22" i="6"/>
  <c r="L23" i="6"/>
  <c r="CQ23" i="6" s="1"/>
  <c r="L24" i="6"/>
  <c r="L25" i="6"/>
  <c r="L26" i="6"/>
  <c r="L2" i="6"/>
  <c r="K3" i="6"/>
  <c r="K4" i="6"/>
  <c r="K5" i="6"/>
  <c r="K6" i="6"/>
  <c r="K7" i="6"/>
  <c r="K8" i="6"/>
  <c r="K9" i="6"/>
  <c r="K10" i="6"/>
  <c r="K11" i="6"/>
  <c r="K12" i="6"/>
  <c r="K13" i="6"/>
  <c r="K14" i="6"/>
  <c r="K15" i="6"/>
  <c r="K16" i="6"/>
  <c r="K17" i="6"/>
  <c r="K18" i="6"/>
  <c r="K19" i="6"/>
  <c r="K20" i="6"/>
  <c r="K21" i="6"/>
  <c r="K22" i="6"/>
  <c r="K23" i="6"/>
  <c r="K24" i="6"/>
  <c r="K25" i="6"/>
  <c r="K26" i="6"/>
  <c r="K2" i="6"/>
  <c r="J3" i="6"/>
  <c r="J4" i="6"/>
  <c r="J5" i="6"/>
  <c r="AN5" i="6" s="1"/>
  <c r="J6" i="6"/>
  <c r="AN6" i="6" s="1"/>
  <c r="J7" i="6"/>
  <c r="J8" i="6"/>
  <c r="J9" i="6"/>
  <c r="AN9" i="6" s="1"/>
  <c r="J10" i="6"/>
  <c r="AK10" i="6" s="1"/>
  <c r="J11" i="6"/>
  <c r="J12" i="6"/>
  <c r="AN12" i="6" s="1"/>
  <c r="J13" i="6"/>
  <c r="J14" i="6"/>
  <c r="AN14" i="6" s="1"/>
  <c r="J15" i="6"/>
  <c r="J16" i="6"/>
  <c r="J17" i="6"/>
  <c r="AN17" i="6" s="1"/>
  <c r="J18" i="6"/>
  <c r="J19" i="6"/>
  <c r="AN19" i="6" s="1"/>
  <c r="J20" i="6"/>
  <c r="J21" i="6"/>
  <c r="AN21" i="6" s="1"/>
  <c r="J22" i="6"/>
  <c r="AK22" i="6" s="1"/>
  <c r="J23" i="6"/>
  <c r="J24" i="6"/>
  <c r="AN24" i="6" s="1"/>
  <c r="J25" i="6"/>
  <c r="J26" i="6"/>
  <c r="AN26" i="6" s="1"/>
  <c r="J2" i="6"/>
  <c r="I3" i="6"/>
  <c r="AM3" i="6" s="1"/>
  <c r="I4" i="6"/>
  <c r="AM4" i="6" s="1"/>
  <c r="I5" i="6"/>
  <c r="I6" i="6"/>
  <c r="I7" i="6"/>
  <c r="AM7" i="6" s="1"/>
  <c r="I8" i="6"/>
  <c r="AM8" i="6" s="1"/>
  <c r="I9" i="6"/>
  <c r="I10" i="6"/>
  <c r="AJ10" i="6" s="1"/>
  <c r="I11" i="6"/>
  <c r="AM11" i="6" s="1"/>
  <c r="I12" i="6"/>
  <c r="I13" i="6"/>
  <c r="AM13" i="6" s="1"/>
  <c r="I14" i="6"/>
  <c r="I15" i="6"/>
  <c r="AM15" i="6" s="1"/>
  <c r="I16" i="6"/>
  <c r="AM16" i="6" s="1"/>
  <c r="I17" i="6"/>
  <c r="I18" i="6"/>
  <c r="AM18" i="6" s="1"/>
  <c r="I19" i="6"/>
  <c r="I20" i="6"/>
  <c r="AM20" i="6" s="1"/>
  <c r="I21" i="6"/>
  <c r="I22" i="6"/>
  <c r="I23" i="6"/>
  <c r="AM23" i="6" s="1"/>
  <c r="I24" i="6"/>
  <c r="I25" i="6"/>
  <c r="AM25" i="6" s="1"/>
  <c r="I26" i="6"/>
  <c r="I2" i="6"/>
  <c r="AM2" i="6" s="1"/>
  <c r="H3" i="6"/>
  <c r="H4" i="6"/>
  <c r="H5" i="6"/>
  <c r="H6" i="6"/>
  <c r="H7" i="6"/>
  <c r="H8" i="6"/>
  <c r="H9" i="6"/>
  <c r="H10" i="6"/>
  <c r="H11" i="6"/>
  <c r="H12" i="6"/>
  <c r="H13" i="6"/>
  <c r="H14" i="6"/>
  <c r="H15" i="6"/>
  <c r="H16" i="6"/>
  <c r="H17" i="6"/>
  <c r="H18" i="6"/>
  <c r="H19" i="6"/>
  <c r="H20" i="6"/>
  <c r="H21" i="6"/>
  <c r="H22" i="6"/>
  <c r="H23" i="6"/>
  <c r="H24" i="6"/>
  <c r="H25" i="6"/>
  <c r="H26" i="6"/>
  <c r="H2" i="6"/>
  <c r="G3" i="6"/>
  <c r="G4" i="6"/>
  <c r="G6" i="6"/>
  <c r="G7" i="6"/>
  <c r="G8" i="6"/>
  <c r="G9" i="6"/>
  <c r="G10" i="6"/>
  <c r="G11" i="6"/>
  <c r="G12" i="6"/>
  <c r="G13" i="6"/>
  <c r="G14" i="6"/>
  <c r="G15" i="6"/>
  <c r="G16" i="6"/>
  <c r="G17" i="6"/>
  <c r="G18" i="6"/>
  <c r="G19" i="6"/>
  <c r="CT19" i="6" s="1"/>
  <c r="G20" i="6"/>
  <c r="G21" i="6"/>
  <c r="G22" i="6"/>
  <c r="G23" i="6"/>
  <c r="G24" i="6"/>
  <c r="G25" i="6"/>
  <c r="G26" i="6"/>
  <c r="G2" i="6"/>
  <c r="Q3" i="5"/>
  <c r="Q4" i="5"/>
  <c r="Q5" i="5"/>
  <c r="Q6" i="5"/>
  <c r="Q7" i="5"/>
  <c r="Q8" i="5"/>
  <c r="Q9" i="5"/>
  <c r="Q10" i="5"/>
  <c r="Q11" i="5"/>
  <c r="Q12" i="5"/>
  <c r="Q13" i="5"/>
  <c r="Q14" i="5"/>
  <c r="Q15" i="5"/>
  <c r="Q16" i="5"/>
  <c r="Q17" i="5"/>
  <c r="Q18" i="5"/>
  <c r="Q19" i="5"/>
  <c r="Q20" i="5"/>
  <c r="Q21" i="5"/>
  <c r="Q22" i="5"/>
  <c r="Q23" i="5"/>
  <c r="Q24" i="5"/>
  <c r="Q25" i="5"/>
  <c r="Q26" i="5"/>
  <c r="Q2" i="5"/>
  <c r="P3" i="5"/>
  <c r="P4" i="5"/>
  <c r="P5" i="5"/>
  <c r="P6" i="5"/>
  <c r="P7" i="5"/>
  <c r="P8" i="5"/>
  <c r="P9" i="5"/>
  <c r="P10" i="5"/>
  <c r="P11" i="5"/>
  <c r="P12" i="5"/>
  <c r="P13" i="5"/>
  <c r="P14" i="5"/>
  <c r="P15" i="5"/>
  <c r="P16" i="5"/>
  <c r="P17" i="5"/>
  <c r="P18" i="5"/>
  <c r="P19" i="5"/>
  <c r="P20" i="5"/>
  <c r="P21" i="5"/>
  <c r="P22" i="5"/>
  <c r="P23" i="5"/>
  <c r="P24" i="5"/>
  <c r="P25" i="5"/>
  <c r="P26" i="5"/>
  <c r="P2" i="5"/>
  <c r="O3" i="5"/>
  <c r="O4" i="5"/>
  <c r="O5" i="5"/>
  <c r="O6" i="5"/>
  <c r="O7" i="5"/>
  <c r="O8" i="5"/>
  <c r="O9" i="5"/>
  <c r="O10" i="5"/>
  <c r="O11" i="5"/>
  <c r="O12" i="5"/>
  <c r="O13" i="5"/>
  <c r="O14" i="5"/>
  <c r="O15" i="5"/>
  <c r="O16" i="5"/>
  <c r="O17" i="5"/>
  <c r="O18" i="5"/>
  <c r="O19" i="5"/>
  <c r="O20" i="5"/>
  <c r="O21" i="5"/>
  <c r="O22" i="5"/>
  <c r="O23" i="5"/>
  <c r="O24" i="5"/>
  <c r="O25" i="5"/>
  <c r="O26" i="5"/>
  <c r="O2" i="5"/>
  <c r="N3" i="5"/>
  <c r="N4" i="5"/>
  <c r="N5" i="5"/>
  <c r="N6" i="5"/>
  <c r="N7" i="5"/>
  <c r="N8" i="5"/>
  <c r="N9" i="5"/>
  <c r="N10" i="5"/>
  <c r="N11" i="5"/>
  <c r="N12" i="5"/>
  <c r="N13" i="5"/>
  <c r="N14" i="5"/>
  <c r="N15" i="5"/>
  <c r="N16" i="5"/>
  <c r="N17" i="5"/>
  <c r="N18" i="5"/>
  <c r="N19" i="5"/>
  <c r="N20" i="5"/>
  <c r="N21" i="5"/>
  <c r="N22" i="5"/>
  <c r="N23" i="5"/>
  <c r="N24" i="5"/>
  <c r="N25" i="5"/>
  <c r="N26" i="5"/>
  <c r="N2" i="5"/>
  <c r="M3" i="5"/>
  <c r="M4" i="5"/>
  <c r="M5" i="5"/>
  <c r="M6" i="5"/>
  <c r="M7" i="5"/>
  <c r="M8" i="5"/>
  <c r="M9" i="5"/>
  <c r="M10" i="5"/>
  <c r="M11" i="5"/>
  <c r="M12" i="5"/>
  <c r="M13" i="5"/>
  <c r="M14" i="5"/>
  <c r="M15" i="5"/>
  <c r="M16" i="5"/>
  <c r="M17" i="5"/>
  <c r="M18" i="5"/>
  <c r="M19" i="5"/>
  <c r="M20" i="5"/>
  <c r="M21" i="5"/>
  <c r="M22" i="5"/>
  <c r="M23" i="5"/>
  <c r="M24" i="5"/>
  <c r="M25" i="5"/>
  <c r="M26" i="5"/>
  <c r="M2" i="5"/>
  <c r="L3" i="5"/>
  <c r="L4" i="5"/>
  <c r="L5" i="5"/>
  <c r="L6" i="5"/>
  <c r="L7" i="5"/>
  <c r="L8" i="5"/>
  <c r="L9" i="5"/>
  <c r="L10" i="5"/>
  <c r="L11" i="5"/>
  <c r="L12" i="5"/>
  <c r="L13" i="5"/>
  <c r="L14" i="5"/>
  <c r="L15" i="5"/>
  <c r="L16" i="5"/>
  <c r="L17" i="5"/>
  <c r="L18" i="5"/>
  <c r="L19" i="5"/>
  <c r="L20" i="5"/>
  <c r="L21" i="5"/>
  <c r="L22" i="5"/>
  <c r="L23" i="5"/>
  <c r="L24" i="5"/>
  <c r="L25" i="5"/>
  <c r="L26" i="5"/>
  <c r="L2" i="5"/>
  <c r="K3" i="5"/>
  <c r="K4" i="5"/>
  <c r="K5" i="5"/>
  <c r="K6" i="5"/>
  <c r="K7" i="5"/>
  <c r="K8" i="5"/>
  <c r="K9" i="5"/>
  <c r="K10" i="5"/>
  <c r="K11" i="5"/>
  <c r="K12" i="5"/>
  <c r="K13" i="5"/>
  <c r="K14" i="5"/>
  <c r="K15" i="5"/>
  <c r="K16" i="5"/>
  <c r="K17" i="5"/>
  <c r="K18" i="5"/>
  <c r="K19" i="5"/>
  <c r="K20" i="5"/>
  <c r="K21" i="5"/>
  <c r="K22" i="5"/>
  <c r="K23" i="5"/>
  <c r="K24" i="5"/>
  <c r="K25" i="5"/>
  <c r="K26" i="5"/>
  <c r="K2" i="5"/>
  <c r="J3" i="5"/>
  <c r="J4" i="5"/>
  <c r="J5" i="5"/>
  <c r="J6" i="5"/>
  <c r="J7" i="5"/>
  <c r="J8" i="5"/>
  <c r="J9" i="5"/>
  <c r="J10" i="5"/>
  <c r="J11" i="5"/>
  <c r="J12" i="5"/>
  <c r="J13" i="5"/>
  <c r="J14" i="5"/>
  <c r="J15" i="5"/>
  <c r="J16" i="5"/>
  <c r="J17" i="5"/>
  <c r="J18" i="5"/>
  <c r="J19" i="5"/>
  <c r="J20" i="5"/>
  <c r="J21" i="5"/>
  <c r="J22" i="5"/>
  <c r="J23" i="5"/>
  <c r="J24" i="5"/>
  <c r="J25" i="5"/>
  <c r="J26" i="5"/>
  <c r="J2" i="5"/>
  <c r="I3" i="5"/>
  <c r="I4" i="5"/>
  <c r="I5" i="5"/>
  <c r="I6" i="5"/>
  <c r="I7" i="5"/>
  <c r="I8" i="5"/>
  <c r="I9" i="5"/>
  <c r="I10" i="5"/>
  <c r="I11" i="5"/>
  <c r="I12" i="5"/>
  <c r="I13" i="5"/>
  <c r="I14" i="5"/>
  <c r="I15" i="5"/>
  <c r="I16" i="5"/>
  <c r="I17" i="5"/>
  <c r="I18" i="5"/>
  <c r="I19" i="5"/>
  <c r="I20" i="5"/>
  <c r="I21" i="5"/>
  <c r="I22" i="5"/>
  <c r="I23" i="5"/>
  <c r="I24" i="5"/>
  <c r="I25" i="5"/>
  <c r="I26" i="5"/>
  <c r="I2" i="5"/>
  <c r="G3" i="5"/>
  <c r="G4" i="5"/>
  <c r="G5" i="5"/>
  <c r="G6" i="5"/>
  <c r="G7" i="5"/>
  <c r="G8" i="5"/>
  <c r="G9" i="5"/>
  <c r="G10" i="5"/>
  <c r="G11" i="5"/>
  <c r="G12" i="5"/>
  <c r="G13" i="5"/>
  <c r="G14" i="5"/>
  <c r="G15" i="5"/>
  <c r="G16" i="5"/>
  <c r="G17" i="5"/>
  <c r="G18" i="5"/>
  <c r="G19" i="5"/>
  <c r="G20" i="5"/>
  <c r="G21" i="5"/>
  <c r="G22" i="5"/>
  <c r="G23" i="5"/>
  <c r="G24" i="5"/>
  <c r="G25" i="5"/>
  <c r="G26" i="5"/>
  <c r="G2" i="5"/>
  <c r="E3" i="5"/>
  <c r="E4" i="5"/>
  <c r="E5" i="5"/>
  <c r="E6" i="5"/>
  <c r="E7" i="5"/>
  <c r="E8" i="5"/>
  <c r="E9" i="5"/>
  <c r="E10" i="5"/>
  <c r="E11" i="5"/>
  <c r="E12" i="5"/>
  <c r="E13" i="5"/>
  <c r="E14" i="5"/>
  <c r="E15" i="5"/>
  <c r="E16" i="5"/>
  <c r="E17" i="5"/>
  <c r="E18" i="5"/>
  <c r="E19" i="5"/>
  <c r="E20" i="5"/>
  <c r="E21" i="5"/>
  <c r="E22" i="5"/>
  <c r="E23" i="5"/>
  <c r="E24" i="5"/>
  <c r="E25" i="5"/>
  <c r="E26" i="5"/>
  <c r="E2" i="5"/>
  <c r="C3" i="5"/>
  <c r="C4" i="5"/>
  <c r="C5" i="5"/>
  <c r="C6" i="5"/>
  <c r="C7" i="5"/>
  <c r="C8" i="5"/>
  <c r="C9" i="5"/>
  <c r="C10" i="5"/>
  <c r="C11" i="5"/>
  <c r="C12" i="5"/>
  <c r="C13" i="5"/>
  <c r="C14" i="5"/>
  <c r="C15" i="5"/>
  <c r="C16" i="5"/>
  <c r="C17" i="5"/>
  <c r="C18" i="5"/>
  <c r="C19" i="5"/>
  <c r="C20" i="5"/>
  <c r="C21" i="5"/>
  <c r="C22" i="5"/>
  <c r="C23" i="5"/>
  <c r="C24" i="5"/>
  <c r="C25" i="5"/>
  <c r="C26" i="5"/>
  <c r="C2" i="5"/>
  <c r="F26" i="6"/>
  <c r="E26" i="6"/>
  <c r="AH26" i="6" s="1"/>
  <c r="D26" i="6"/>
  <c r="C26" i="6"/>
  <c r="B26" i="6"/>
  <c r="F25" i="6"/>
  <c r="E25" i="6"/>
  <c r="D25" i="6"/>
  <c r="AZ25" i="6" s="1"/>
  <c r="C25" i="6"/>
  <c r="B25" i="6"/>
  <c r="F24" i="6"/>
  <c r="E24" i="6"/>
  <c r="AH24" i="6" s="1"/>
  <c r="D24" i="6"/>
  <c r="C24" i="6"/>
  <c r="B24" i="6"/>
  <c r="F23" i="6"/>
  <c r="E23" i="6"/>
  <c r="D23" i="6"/>
  <c r="AG23" i="6" s="1"/>
  <c r="C23" i="6"/>
  <c r="B23" i="6"/>
  <c r="F22" i="6"/>
  <c r="E22" i="6"/>
  <c r="AH22" i="6" s="1"/>
  <c r="D22" i="6"/>
  <c r="C22" i="6"/>
  <c r="B22" i="6"/>
  <c r="F21" i="6"/>
  <c r="E21" i="6"/>
  <c r="AH21" i="6" s="1"/>
  <c r="D21" i="6"/>
  <c r="C21" i="6"/>
  <c r="B21" i="6"/>
  <c r="F20" i="6"/>
  <c r="E20" i="6"/>
  <c r="D20" i="6"/>
  <c r="AG20" i="6" s="1"/>
  <c r="C20" i="6"/>
  <c r="B20" i="6"/>
  <c r="F19" i="6"/>
  <c r="E19" i="6"/>
  <c r="AH19" i="6" s="1"/>
  <c r="D19" i="6"/>
  <c r="C19" i="6"/>
  <c r="B19" i="6"/>
  <c r="F18" i="6"/>
  <c r="E18" i="6"/>
  <c r="D18" i="6"/>
  <c r="AG18" i="6" s="1"/>
  <c r="C18" i="6"/>
  <c r="B18" i="6"/>
  <c r="F17" i="6"/>
  <c r="E17" i="6"/>
  <c r="AH17" i="6" s="1"/>
  <c r="D17" i="6"/>
  <c r="C17" i="6"/>
  <c r="B17" i="6"/>
  <c r="F16" i="6"/>
  <c r="E16" i="6"/>
  <c r="D16" i="6"/>
  <c r="AZ16" i="6" s="1"/>
  <c r="C16" i="6"/>
  <c r="B16" i="6"/>
  <c r="F15" i="6"/>
  <c r="E15" i="6"/>
  <c r="D15" i="6"/>
  <c r="AZ15" i="6" s="1"/>
  <c r="C15" i="6"/>
  <c r="B15" i="6"/>
  <c r="F14" i="6"/>
  <c r="E14" i="6"/>
  <c r="AH14" i="6" s="1"/>
  <c r="D14" i="6"/>
  <c r="C14" i="6"/>
  <c r="B14" i="6"/>
  <c r="F13" i="6"/>
  <c r="E13" i="6"/>
  <c r="D13" i="6"/>
  <c r="AZ13" i="6" s="1"/>
  <c r="C13" i="6"/>
  <c r="B13" i="6"/>
  <c r="F12" i="6"/>
  <c r="E12" i="6"/>
  <c r="AH12" i="6" s="1"/>
  <c r="D12" i="6"/>
  <c r="C12" i="6"/>
  <c r="B12" i="6"/>
  <c r="F11" i="6"/>
  <c r="E11" i="6"/>
  <c r="D11" i="6"/>
  <c r="AG11" i="6" s="1"/>
  <c r="C11" i="6"/>
  <c r="B11" i="6"/>
  <c r="F10" i="6"/>
  <c r="E10" i="6"/>
  <c r="AH10" i="6" s="1"/>
  <c r="D10" i="6"/>
  <c r="AG10" i="6" s="1"/>
  <c r="C10" i="6"/>
  <c r="B10" i="6"/>
  <c r="F9" i="6"/>
  <c r="E9" i="6"/>
  <c r="AH9" i="6" s="1"/>
  <c r="D9" i="6"/>
  <c r="C9" i="6"/>
  <c r="B9" i="6"/>
  <c r="F8" i="6"/>
  <c r="E8" i="6"/>
  <c r="D8" i="6"/>
  <c r="AG8" i="6" s="1"/>
  <c r="C8" i="6"/>
  <c r="B8" i="6"/>
  <c r="F7" i="6"/>
  <c r="E7" i="6"/>
  <c r="D7" i="6"/>
  <c r="AG7" i="6" s="1"/>
  <c r="C7" i="6"/>
  <c r="B7" i="6"/>
  <c r="F6" i="6"/>
  <c r="E6" i="6"/>
  <c r="BA6" i="6" s="1"/>
  <c r="D6" i="6"/>
  <c r="C6" i="6"/>
  <c r="B6" i="6"/>
  <c r="F5" i="6"/>
  <c r="E5" i="6"/>
  <c r="AH5" i="6" s="1"/>
  <c r="D5" i="6"/>
  <c r="C5" i="6"/>
  <c r="F4" i="6"/>
  <c r="E4" i="6"/>
  <c r="D4" i="6"/>
  <c r="AZ4" i="6" s="1"/>
  <c r="C4" i="6"/>
  <c r="B4" i="6"/>
  <c r="F3" i="6"/>
  <c r="E3" i="6"/>
  <c r="D3" i="6"/>
  <c r="AZ3" i="6" s="1"/>
  <c r="C3" i="6"/>
  <c r="B3" i="6"/>
  <c r="F2" i="6"/>
  <c r="E2" i="6"/>
  <c r="D2" i="6"/>
  <c r="AZ2" i="6" s="1"/>
  <c r="C2" i="6"/>
  <c r="B2" i="6"/>
  <c r="I25" i="4"/>
  <c r="I24" i="4"/>
  <c r="I23" i="4"/>
  <c r="I22" i="4"/>
  <c r="I21" i="4"/>
  <c r="I20" i="4"/>
  <c r="I19" i="4"/>
  <c r="I18" i="4"/>
  <c r="I17" i="4"/>
  <c r="I16" i="4"/>
  <c r="I15" i="4"/>
  <c r="I14" i="4"/>
  <c r="I13" i="4"/>
  <c r="I12" i="4"/>
  <c r="I11" i="4"/>
  <c r="I10" i="4"/>
  <c r="I9" i="4"/>
  <c r="I8" i="4"/>
  <c r="I7" i="4"/>
  <c r="I6" i="4"/>
  <c r="I5" i="4"/>
  <c r="I4" i="4"/>
  <c r="I3" i="4"/>
  <c r="I26" i="3"/>
  <c r="I25" i="3"/>
  <c r="I24" i="3"/>
  <c r="I23" i="3"/>
  <c r="I22" i="3"/>
  <c r="I21" i="3"/>
  <c r="I20" i="3"/>
  <c r="I19" i="3"/>
  <c r="I18" i="3"/>
  <c r="I17" i="3"/>
  <c r="I16" i="3"/>
  <c r="I15" i="3"/>
  <c r="I14" i="3"/>
  <c r="I13" i="3"/>
  <c r="CN18" i="6" l="1"/>
  <c r="CJ18" i="6"/>
  <c r="CO19" i="6"/>
  <c r="CK19" i="6"/>
  <c r="CK6" i="6"/>
  <c r="CO6" i="6"/>
  <c r="CN16" i="6"/>
  <c r="CJ16" i="6"/>
  <c r="CN4" i="6"/>
  <c r="CJ4" i="6"/>
  <c r="CO17" i="6"/>
  <c r="CK17" i="6"/>
  <c r="CK5" i="6"/>
  <c r="CO5" i="6"/>
  <c r="CN2" i="6"/>
  <c r="CJ2" i="6"/>
  <c r="CN15" i="6"/>
  <c r="CJ15" i="6"/>
  <c r="CN3" i="6"/>
  <c r="CJ3" i="6"/>
  <c r="CK15" i="6"/>
  <c r="CN23" i="6"/>
  <c r="CJ23" i="6"/>
  <c r="CN11" i="6"/>
  <c r="CJ11" i="6"/>
  <c r="CO24" i="6"/>
  <c r="CK24" i="6"/>
  <c r="CO12" i="6"/>
  <c r="CK12" i="6"/>
  <c r="CN10" i="6"/>
  <c r="CJ10" i="6"/>
  <c r="CT7" i="6"/>
  <c r="AX6" i="6"/>
  <c r="CS6" i="6"/>
  <c r="CQ16" i="6"/>
  <c r="CQ4" i="6"/>
  <c r="CP19" i="6"/>
  <c r="CP7" i="6"/>
  <c r="BR24" i="6"/>
  <c r="BR12" i="6"/>
  <c r="BS25" i="6"/>
  <c r="BS13" i="6"/>
  <c r="BT26" i="6"/>
  <c r="BT14" i="6"/>
  <c r="CJ14" i="6" s="1"/>
  <c r="BU2" i="6"/>
  <c r="CK2" i="6" s="1"/>
  <c r="BU15" i="6"/>
  <c r="BU3" i="6"/>
  <c r="CK3" i="6" s="1"/>
  <c r="CA24" i="6"/>
  <c r="CA12" i="6"/>
  <c r="CF6" i="6"/>
  <c r="CN7" i="6"/>
  <c r="CS18" i="6"/>
  <c r="CT24" i="6"/>
  <c r="AX11" i="6"/>
  <c r="CS11" i="6"/>
  <c r="AX23" i="6"/>
  <c r="CS23" i="6"/>
  <c r="CT23" i="6"/>
  <c r="CT11" i="6"/>
  <c r="CQ2" i="6"/>
  <c r="CQ15" i="6"/>
  <c r="CQ3" i="6"/>
  <c r="CP18" i="6"/>
  <c r="CP6" i="6"/>
  <c r="BR23" i="6"/>
  <c r="CH23" i="6" s="1"/>
  <c r="BR2" i="6"/>
  <c r="BS24" i="6"/>
  <c r="CI24" i="6" s="1"/>
  <c r="BS12" i="6"/>
  <c r="CI12" i="6" s="1"/>
  <c r="BT5" i="6"/>
  <c r="CJ5" i="6" s="1"/>
  <c r="BU18" i="6"/>
  <c r="CK18" i="6" s="1"/>
  <c r="BZ22" i="6"/>
  <c r="BZ10" i="6"/>
  <c r="CA23" i="6"/>
  <c r="CA11" i="6"/>
  <c r="CB24" i="6"/>
  <c r="CB12" i="6"/>
  <c r="CC25" i="6"/>
  <c r="CC13" i="6"/>
  <c r="CQ11" i="6"/>
  <c r="CT12" i="6"/>
  <c r="CQ26" i="6"/>
  <c r="CQ14" i="6"/>
  <c r="CP17" i="6"/>
  <c r="CP5" i="6"/>
  <c r="BR22" i="6"/>
  <c r="CH22" i="6" s="1"/>
  <c r="BR10" i="6"/>
  <c r="CH10" i="6" s="1"/>
  <c r="BS23" i="6"/>
  <c r="CI23" i="6" s="1"/>
  <c r="BS11" i="6"/>
  <c r="CI11" i="6" s="1"/>
  <c r="BT24" i="6"/>
  <c r="BT12" i="6"/>
  <c r="BU25" i="6"/>
  <c r="BU13" i="6"/>
  <c r="BV2" i="6"/>
  <c r="CS16" i="6"/>
  <c r="CT22" i="6"/>
  <c r="CT10" i="6"/>
  <c r="CS4" i="6"/>
  <c r="AX9" i="6"/>
  <c r="CS9" i="6"/>
  <c r="CU9" i="6" s="1"/>
  <c r="AX21" i="6"/>
  <c r="CS21" i="6"/>
  <c r="CU21" i="6" s="1"/>
  <c r="CT21" i="6"/>
  <c r="CT9" i="6"/>
  <c r="CQ25" i="6"/>
  <c r="CQ13" i="6"/>
  <c r="CP16" i="6"/>
  <c r="CL16" i="6" s="1"/>
  <c r="CP4" i="6"/>
  <c r="CL4" i="6" s="1"/>
  <c r="BR21" i="6"/>
  <c r="CH21" i="6" s="1"/>
  <c r="BR9" i="6"/>
  <c r="CH9" i="6" s="1"/>
  <c r="BS22" i="6"/>
  <c r="CI22" i="6" s="1"/>
  <c r="BS10" i="6"/>
  <c r="CI10" i="6" s="1"/>
  <c r="BW2" i="6"/>
  <c r="AX19" i="6"/>
  <c r="CS19" i="6"/>
  <c r="CU19" i="6" s="1"/>
  <c r="CS14" i="6"/>
  <c r="CS26" i="6"/>
  <c r="CT20" i="6"/>
  <c r="CT8" i="6"/>
  <c r="CQ24" i="6"/>
  <c r="CQ12" i="6"/>
  <c r="CP2" i="6"/>
  <c r="CL2" i="6" s="1"/>
  <c r="CP15" i="6"/>
  <c r="CL15" i="6" s="1"/>
  <c r="CP3" i="6"/>
  <c r="CL3" i="6" s="1"/>
  <c r="BR20" i="6"/>
  <c r="CH20" i="6" s="1"/>
  <c r="BR8" i="6"/>
  <c r="CH8" i="6" s="1"/>
  <c r="BS21" i="6"/>
  <c r="CI21" i="6" s="1"/>
  <c r="BS9" i="6"/>
  <c r="CI9" i="6" s="1"/>
  <c r="BT22" i="6"/>
  <c r="CJ22" i="6" s="1"/>
  <c r="BU23" i="6"/>
  <c r="CK23" i="6" s="1"/>
  <c r="BU11" i="6"/>
  <c r="CK11" i="6" s="1"/>
  <c r="BV25" i="6"/>
  <c r="BV13" i="6"/>
  <c r="BW26" i="6"/>
  <c r="BW14" i="6"/>
  <c r="BZ19" i="6"/>
  <c r="CL19" i="6" s="1"/>
  <c r="BZ7" i="6"/>
  <c r="CL7" i="6" s="1"/>
  <c r="CA20" i="6"/>
  <c r="CA8" i="6"/>
  <c r="CB21" i="6"/>
  <c r="CB9" i="6"/>
  <c r="CE25" i="6"/>
  <c r="CE13" i="6"/>
  <c r="CF26" i="6"/>
  <c r="CF12" i="6"/>
  <c r="CP14" i="6"/>
  <c r="CL14" i="6" s="1"/>
  <c r="BR7" i="6"/>
  <c r="CH7" i="6" s="1"/>
  <c r="BS8" i="6"/>
  <c r="CI8" i="6" s="1"/>
  <c r="BT9" i="6"/>
  <c r="BV24" i="6"/>
  <c r="BV12" i="6"/>
  <c r="BW25" i="6"/>
  <c r="BW13" i="6"/>
  <c r="BX26" i="6"/>
  <c r="CJ26" i="6" s="1"/>
  <c r="BX14" i="6"/>
  <c r="BY2" i="6"/>
  <c r="BZ18" i="6"/>
  <c r="CL18" i="6" s="1"/>
  <c r="BZ6" i="6"/>
  <c r="CL6" i="6" s="1"/>
  <c r="CA19" i="6"/>
  <c r="CA7" i="6"/>
  <c r="CD8" i="6"/>
  <c r="CS2" i="6"/>
  <c r="CS12" i="6"/>
  <c r="CU12" i="6" s="1"/>
  <c r="CT18" i="6"/>
  <c r="CP25" i="6"/>
  <c r="CL25" i="6" s="1"/>
  <c r="CP13" i="6"/>
  <c r="CL13" i="6" s="1"/>
  <c r="BR18" i="6"/>
  <c r="BR6" i="6"/>
  <c r="CH6" i="6" s="1"/>
  <c r="BS19" i="6"/>
  <c r="BS7" i="6"/>
  <c r="CI7" i="6" s="1"/>
  <c r="BZ17" i="6"/>
  <c r="CL17" i="6" s="1"/>
  <c r="BZ5" i="6"/>
  <c r="CL5" i="6" s="1"/>
  <c r="CA18" i="6"/>
  <c r="CA6" i="6"/>
  <c r="CB19" i="6"/>
  <c r="CC20" i="6"/>
  <c r="CC8" i="6"/>
  <c r="CE5" i="6"/>
  <c r="CG11" i="6"/>
  <c r="CT17" i="6"/>
  <c r="CT4" i="6"/>
  <c r="CQ21" i="6"/>
  <c r="CQ9" i="6"/>
  <c r="CP24" i="6"/>
  <c r="CL24" i="6" s="1"/>
  <c r="CP12" i="6"/>
  <c r="CL12" i="6" s="1"/>
  <c r="BR17" i="6"/>
  <c r="CH17" i="6" s="1"/>
  <c r="BR14" i="6"/>
  <c r="CH14" i="6" s="1"/>
  <c r="BS18" i="6"/>
  <c r="CI18" i="6" s="1"/>
  <c r="BS15" i="6"/>
  <c r="CI15" i="6" s="1"/>
  <c r="BT19" i="6"/>
  <c r="BU20" i="6"/>
  <c r="BU8" i="6"/>
  <c r="CS24" i="6"/>
  <c r="CU24" i="6" s="1"/>
  <c r="CS10" i="6"/>
  <c r="CU10" i="6" s="1"/>
  <c r="CS22" i="6"/>
  <c r="CU22" i="6" s="1"/>
  <c r="CT16" i="6"/>
  <c r="CT3" i="6"/>
  <c r="CQ20" i="6"/>
  <c r="CR20" i="6" s="1"/>
  <c r="CQ8" i="6"/>
  <c r="CR8" i="6" s="1"/>
  <c r="CP23" i="6"/>
  <c r="CL23" i="6" s="1"/>
  <c r="CP11" i="6"/>
  <c r="CL11" i="6" s="1"/>
  <c r="BR16" i="6"/>
  <c r="CH16" i="6" s="1"/>
  <c r="BR4" i="6"/>
  <c r="CH4" i="6" s="1"/>
  <c r="BS17" i="6"/>
  <c r="CI17" i="6" s="1"/>
  <c r="BS5" i="6"/>
  <c r="CI5" i="6" s="1"/>
  <c r="BT6" i="6"/>
  <c r="CJ6" i="6" s="1"/>
  <c r="BU7" i="6"/>
  <c r="CK7" i="6" s="1"/>
  <c r="CQ22" i="6"/>
  <c r="AX17" i="6"/>
  <c r="CS17" i="6"/>
  <c r="CU17" i="6" s="1"/>
  <c r="AX15" i="6"/>
  <c r="CS15" i="6"/>
  <c r="CT2" i="6"/>
  <c r="CT15" i="6"/>
  <c r="CQ19" i="6"/>
  <c r="CQ7" i="6"/>
  <c r="CP22" i="6"/>
  <c r="CP10" i="6"/>
  <c r="CS5" i="6"/>
  <c r="CK22" i="6"/>
  <c r="CK10" i="6"/>
  <c r="AX7" i="6"/>
  <c r="CS7" i="6"/>
  <c r="CU7" i="6" s="1"/>
  <c r="CQ10" i="6"/>
  <c r="CS3" i="6"/>
  <c r="CS8" i="6"/>
  <c r="CU8" i="6" s="1"/>
  <c r="CT26" i="6"/>
  <c r="CT14" i="6"/>
  <c r="CQ18" i="6"/>
  <c r="CQ6" i="6"/>
  <c r="CP21" i="6"/>
  <c r="CL21" i="6" s="1"/>
  <c r="CP9" i="6"/>
  <c r="CL9" i="6" s="1"/>
  <c r="CT5" i="6"/>
  <c r="CJ20" i="6"/>
  <c r="CJ8" i="6"/>
  <c r="CK21" i="6"/>
  <c r="CK9" i="6"/>
  <c r="CT6" i="6"/>
  <c r="CS20" i="6"/>
  <c r="CU20" i="6" s="1"/>
  <c r="AX13" i="6"/>
  <c r="CS13" i="6"/>
  <c r="AX25" i="6"/>
  <c r="CS25" i="6"/>
  <c r="CT25" i="6"/>
  <c r="CT13" i="6"/>
  <c r="CQ17" i="6"/>
  <c r="CQ5" i="6"/>
  <c r="CP20" i="6"/>
  <c r="CL20" i="6" s="1"/>
  <c r="CP8" i="6"/>
  <c r="CL8" i="6" s="1"/>
  <c r="BR25" i="6"/>
  <c r="CH25" i="6" s="1"/>
  <c r="BR13" i="6"/>
  <c r="CH13" i="6" s="1"/>
  <c r="BS26" i="6"/>
  <c r="CI26" i="6" s="1"/>
  <c r="BS14" i="6"/>
  <c r="CI14" i="6" s="1"/>
  <c r="BU16" i="6"/>
  <c r="CK16" i="6" s="1"/>
  <c r="BU4" i="6"/>
  <c r="CK4" i="6" s="1"/>
  <c r="BV18" i="6"/>
  <c r="BW19" i="6"/>
  <c r="CG20" i="6"/>
  <c r="CG8" i="6"/>
  <c r="CG7" i="6"/>
  <c r="CG18" i="6"/>
  <c r="CG16" i="6"/>
  <c r="CG4" i="6"/>
  <c r="CG15" i="6"/>
  <c r="CG13" i="6"/>
  <c r="CG3" i="6"/>
  <c r="CG23" i="6"/>
  <c r="CG2" i="6"/>
  <c r="CF21" i="6"/>
  <c r="CF9" i="6"/>
  <c r="CF19" i="6"/>
  <c r="CF17" i="6"/>
  <c r="CF5" i="6"/>
  <c r="CF14" i="6"/>
  <c r="CF24" i="6"/>
  <c r="CE17" i="6"/>
  <c r="CE9" i="6"/>
  <c r="CE10" i="6"/>
  <c r="CE20" i="6"/>
  <c r="CE19" i="6"/>
  <c r="CE7" i="6"/>
  <c r="CE8" i="6"/>
  <c r="CE18" i="6"/>
  <c r="CE6" i="6"/>
  <c r="CE16" i="6"/>
  <c r="CE4" i="6"/>
  <c r="CE2" i="6"/>
  <c r="CE15" i="6"/>
  <c r="CE3" i="6"/>
  <c r="CE26" i="6"/>
  <c r="CE14" i="6"/>
  <c r="CE24" i="6"/>
  <c r="CE12" i="6"/>
  <c r="CE23" i="6"/>
  <c r="CE11" i="6"/>
  <c r="CE22" i="6"/>
  <c r="CD10" i="6"/>
  <c r="CD11" i="6"/>
  <c r="CD19" i="6"/>
  <c r="CD9" i="6"/>
  <c r="CD7" i="6"/>
  <c r="CD22" i="6"/>
  <c r="CD21" i="6"/>
  <c r="CD18" i="6"/>
  <c r="CD6" i="6"/>
  <c r="CD17" i="6"/>
  <c r="CD5" i="6"/>
  <c r="CD16" i="6"/>
  <c r="CD4" i="6"/>
  <c r="CD2" i="6"/>
  <c r="CD15" i="6"/>
  <c r="CD3" i="6"/>
  <c r="CD26" i="6"/>
  <c r="CD14" i="6"/>
  <c r="CD25" i="6"/>
  <c r="CD13" i="6"/>
  <c r="CD24" i="6"/>
  <c r="CD12" i="6"/>
  <c r="CD23" i="6"/>
  <c r="CR23" i="6" s="1"/>
  <c r="BT17" i="6"/>
  <c r="CJ17" i="6" s="1"/>
  <c r="BR26" i="6"/>
  <c r="CH26" i="6" s="1"/>
  <c r="BR11" i="6"/>
  <c r="CH11" i="6" s="1"/>
  <c r="BT13" i="6"/>
  <c r="BU14" i="6"/>
  <c r="BS16" i="6"/>
  <c r="CI16" i="6" s="1"/>
  <c r="BS4" i="6"/>
  <c r="CI4" i="6" s="1"/>
  <c r="BR3" i="6"/>
  <c r="CH3" i="6" s="1"/>
  <c r="AY10" i="6"/>
  <c r="BR15" i="6"/>
  <c r="CH15" i="6" s="1"/>
  <c r="AY3" i="6"/>
  <c r="BR5" i="6"/>
  <c r="CH5" i="6" s="1"/>
  <c r="BS6" i="6"/>
  <c r="CI6" i="6" s="1"/>
  <c r="BS2" i="6"/>
  <c r="CI2" i="6" s="1"/>
  <c r="BS3" i="6"/>
  <c r="CI3" i="6" s="1"/>
  <c r="AX18" i="6"/>
  <c r="AX10" i="6"/>
  <c r="BA23" i="6"/>
  <c r="BA11" i="6"/>
  <c r="AX22" i="6"/>
  <c r="AY15" i="6"/>
  <c r="BA7" i="6"/>
  <c r="AY13" i="6"/>
  <c r="AY25" i="6"/>
  <c r="AX2" i="6"/>
  <c r="AZ5" i="6"/>
  <c r="AZ17" i="6"/>
  <c r="AY22" i="6"/>
  <c r="AK21" i="6"/>
  <c r="AH15" i="6"/>
  <c r="AI24" i="6"/>
  <c r="AO5" i="6"/>
  <c r="AU5" i="6" s="1"/>
  <c r="AR8" i="6"/>
  <c r="AS9" i="6"/>
  <c r="BA19" i="6"/>
  <c r="BA13" i="6"/>
  <c r="BA25" i="6"/>
  <c r="AX4" i="6"/>
  <c r="BA18" i="6"/>
  <c r="AX14" i="6"/>
  <c r="AY26" i="6"/>
  <c r="AY16" i="6"/>
  <c r="AY4" i="6"/>
  <c r="AX26" i="6"/>
  <c r="AY14" i="6"/>
  <c r="AI8" i="6"/>
  <c r="AY24" i="6"/>
  <c r="AH7" i="6"/>
  <c r="AI2" i="6"/>
  <c r="AI15" i="6"/>
  <c r="AI3" i="6"/>
  <c r="AO20" i="6"/>
  <c r="AU20" i="6" s="1"/>
  <c r="AO8" i="6"/>
  <c r="AP21" i="6"/>
  <c r="AV21" i="6" s="1"/>
  <c r="AP9" i="6"/>
  <c r="AV9" i="6" s="1"/>
  <c r="AR23" i="6"/>
  <c r="AR11" i="6"/>
  <c r="AS24" i="6"/>
  <c r="AS12" i="6"/>
  <c r="AT25" i="6"/>
  <c r="AT13" i="6"/>
  <c r="AH6" i="6"/>
  <c r="BA26" i="6"/>
  <c r="BA14" i="6"/>
  <c r="AF9" i="6"/>
  <c r="AJ9" i="6"/>
  <c r="AG19" i="6"/>
  <c r="AF5" i="6"/>
  <c r="AG12" i="6"/>
  <c r="AX3" i="6"/>
  <c r="AX8" i="6"/>
  <c r="AX20" i="6"/>
  <c r="AG22" i="6"/>
  <c r="AI26" i="6"/>
  <c r="AI14" i="6"/>
  <c r="AO19" i="6"/>
  <c r="AO7" i="6"/>
  <c r="AR22" i="6"/>
  <c r="CM22" i="6" s="1"/>
  <c r="AR10" i="6"/>
  <c r="CM10" i="6" s="1"/>
  <c r="AJ20" i="6"/>
  <c r="AQ7" i="6"/>
  <c r="AW7" i="6" s="1"/>
  <c r="AF21" i="6"/>
  <c r="AI20" i="6"/>
  <c r="AF8" i="6"/>
  <c r="AF20" i="6"/>
  <c r="AI25" i="6"/>
  <c r="AI13" i="6"/>
  <c r="AO18" i="6"/>
  <c r="AU18" i="6" s="1"/>
  <c r="AO6" i="6"/>
  <c r="AP19" i="6"/>
  <c r="AV19" i="6" s="1"/>
  <c r="AQ20" i="6"/>
  <c r="AW20" i="6" s="1"/>
  <c r="AQ8" i="6"/>
  <c r="AW8" i="6" s="1"/>
  <c r="AR21" i="6"/>
  <c r="CM21" i="6" s="1"/>
  <c r="AR9" i="6"/>
  <c r="CM9" i="6" s="1"/>
  <c r="AS22" i="6"/>
  <c r="CN22" i="6" s="1"/>
  <c r="AT23" i="6"/>
  <c r="CO23" i="6" s="1"/>
  <c r="AT11" i="6"/>
  <c r="CO11" i="6" s="1"/>
  <c r="AJ8" i="6"/>
  <c r="BA24" i="6"/>
  <c r="BA12" i="6"/>
  <c r="AI12" i="6"/>
  <c r="AO17" i="6"/>
  <c r="AU17" i="6" s="1"/>
  <c r="AH3" i="6"/>
  <c r="AH8" i="6"/>
  <c r="AF18" i="6"/>
  <c r="AI23" i="6"/>
  <c r="AO4" i="6"/>
  <c r="AU4" i="6" s="1"/>
  <c r="AP17" i="6"/>
  <c r="AP5" i="6"/>
  <c r="AV5" i="6" s="1"/>
  <c r="AR19" i="6"/>
  <c r="AR7" i="6"/>
  <c r="AK9" i="6"/>
  <c r="BA22" i="6"/>
  <c r="BA10" i="6"/>
  <c r="AR20" i="6"/>
  <c r="AF6" i="6"/>
  <c r="AH20" i="6"/>
  <c r="AI11" i="6"/>
  <c r="AO16" i="6"/>
  <c r="AU16" i="6" s="1"/>
  <c r="AQ18" i="6"/>
  <c r="AW18" i="6" s="1"/>
  <c r="AG6" i="6"/>
  <c r="AY11" i="6"/>
  <c r="AH13" i="6"/>
  <c r="AX16" i="6"/>
  <c r="AY23" i="6"/>
  <c r="AH25" i="6"/>
  <c r="AI22" i="6"/>
  <c r="AI10" i="6"/>
  <c r="AO2" i="6"/>
  <c r="AU2" i="6" s="1"/>
  <c r="AO15" i="6"/>
  <c r="AU15" i="6" s="1"/>
  <c r="AO3" i="6"/>
  <c r="AU3" i="6" s="1"/>
  <c r="AR18" i="6"/>
  <c r="AR6" i="6"/>
  <c r="AS19" i="6"/>
  <c r="AT20" i="6"/>
  <c r="AT8" i="6"/>
  <c r="AM10" i="6"/>
  <c r="BA21" i="6"/>
  <c r="BA9" i="6"/>
  <c r="AI21" i="6"/>
  <c r="AI9" i="6"/>
  <c r="AJ22" i="6"/>
  <c r="AK23" i="6"/>
  <c r="AK11" i="6"/>
  <c r="AO26" i="6"/>
  <c r="AO14" i="6"/>
  <c r="AU14" i="6" s="1"/>
  <c r="AQ16" i="6"/>
  <c r="AQ4" i="6"/>
  <c r="AR17" i="6"/>
  <c r="CM17" i="6" s="1"/>
  <c r="AR5" i="6"/>
  <c r="CM5" i="6" s="1"/>
  <c r="AS6" i="6"/>
  <c r="CN6" i="6" s="1"/>
  <c r="AT7" i="6"/>
  <c r="CO7" i="6" s="1"/>
  <c r="BA20" i="6"/>
  <c r="BA8" i="6"/>
  <c r="AO24" i="6"/>
  <c r="AU24" i="6" s="1"/>
  <c r="AO12" i="6"/>
  <c r="AU12" i="6" s="1"/>
  <c r="AR2" i="6"/>
  <c r="CM2" i="6" s="1"/>
  <c r="AR15" i="6"/>
  <c r="CM15" i="6" s="1"/>
  <c r="AR3" i="6"/>
  <c r="CM3" i="6" s="1"/>
  <c r="AS21" i="6"/>
  <c r="AH16" i="6"/>
  <c r="AG21" i="6"/>
  <c r="AF2" i="6"/>
  <c r="AH4" i="6"/>
  <c r="AF7" i="6"/>
  <c r="AX12" i="6"/>
  <c r="AZ14" i="6"/>
  <c r="AF19" i="6"/>
  <c r="AX24" i="6"/>
  <c r="AZ26" i="6"/>
  <c r="AI18" i="6"/>
  <c r="AI6" i="6"/>
  <c r="AO23" i="6"/>
  <c r="AO11" i="6"/>
  <c r="AU11" i="6" s="1"/>
  <c r="AP24" i="6"/>
  <c r="AV24" i="6" s="1"/>
  <c r="AP12" i="6"/>
  <c r="AV12" i="6" s="1"/>
  <c r="AQ25" i="6"/>
  <c r="AW25" i="6" s="1"/>
  <c r="AQ13" i="6"/>
  <c r="AW13" i="6" s="1"/>
  <c r="AR26" i="6"/>
  <c r="CM26" i="6" s="1"/>
  <c r="AR14" i="6"/>
  <c r="CM14" i="6" s="1"/>
  <c r="AT16" i="6"/>
  <c r="CO16" i="6" s="1"/>
  <c r="AT4" i="6"/>
  <c r="CO4" i="6" s="1"/>
  <c r="AY21" i="6"/>
  <c r="BA17" i="6"/>
  <c r="BA5" i="6"/>
  <c r="AP6" i="6"/>
  <c r="AV6" i="6" s="1"/>
  <c r="AH23" i="6"/>
  <c r="AY12" i="6"/>
  <c r="AI17" i="6"/>
  <c r="AI5" i="6"/>
  <c r="AO22" i="6"/>
  <c r="AU22" i="6" s="1"/>
  <c r="AO10" i="6"/>
  <c r="AU10" i="6" s="1"/>
  <c r="AR25" i="6"/>
  <c r="CM25" i="6" s="1"/>
  <c r="AR13" i="6"/>
  <c r="CM13" i="6" s="1"/>
  <c r="AS26" i="6"/>
  <c r="CN26" i="6" s="1"/>
  <c r="AS14" i="6"/>
  <c r="CN14" i="6" s="1"/>
  <c r="AT2" i="6"/>
  <c r="CO2" i="6" s="1"/>
  <c r="AT15" i="6"/>
  <c r="CO15" i="6" s="1"/>
  <c r="AT3" i="6"/>
  <c r="CO3" i="6" s="1"/>
  <c r="AY9" i="6"/>
  <c r="BA16" i="6"/>
  <c r="BA4" i="6"/>
  <c r="AH11" i="6"/>
  <c r="AJ21" i="6"/>
  <c r="AG9" i="6"/>
  <c r="BA2" i="6"/>
  <c r="AF17" i="6"/>
  <c r="AG24" i="6"/>
  <c r="AI16" i="6"/>
  <c r="AI4" i="6"/>
  <c r="AO21" i="6"/>
  <c r="AU21" i="6" s="1"/>
  <c r="AO9" i="6"/>
  <c r="AU9" i="6" s="1"/>
  <c r="AP22" i="6"/>
  <c r="AV22" i="6" s="1"/>
  <c r="AQ23" i="6"/>
  <c r="AW23" i="6" s="1"/>
  <c r="AQ11" i="6"/>
  <c r="AW11" i="6" s="1"/>
  <c r="AR24" i="6"/>
  <c r="AR12" i="6"/>
  <c r="BA15" i="6"/>
  <c r="BA3" i="6"/>
  <c r="AF16" i="6"/>
  <c r="AG5" i="6"/>
  <c r="AI19" i="6"/>
  <c r="AP26" i="6"/>
  <c r="AV26" i="6" s="1"/>
  <c r="AQ15" i="6"/>
  <c r="AW15" i="6" s="1"/>
  <c r="AR4" i="6"/>
  <c r="CM4" i="6" s="1"/>
  <c r="AT18" i="6"/>
  <c r="CO18" i="6" s="1"/>
  <c r="AZ24" i="6"/>
  <c r="AF15" i="6"/>
  <c r="AF3" i="6"/>
  <c r="AG16" i="6"/>
  <c r="AG4" i="6"/>
  <c r="AJ19" i="6"/>
  <c r="AJ7" i="6"/>
  <c r="AK20" i="6"/>
  <c r="AK8" i="6"/>
  <c r="AN22" i="6"/>
  <c r="AN10" i="6"/>
  <c r="AY20" i="6"/>
  <c r="AY8" i="6"/>
  <c r="AZ23" i="6"/>
  <c r="AZ11" i="6"/>
  <c r="AF4" i="6"/>
  <c r="AH18" i="6"/>
  <c r="AI7" i="6"/>
  <c r="AO25" i="6"/>
  <c r="AU25" i="6" s="1"/>
  <c r="AQ2" i="6"/>
  <c r="AW2" i="6" s="1"/>
  <c r="AR16" i="6"/>
  <c r="CM16" i="6" s="1"/>
  <c r="AS5" i="6"/>
  <c r="CN5" i="6" s="1"/>
  <c r="AF26" i="6"/>
  <c r="AF14" i="6"/>
  <c r="AG2" i="6"/>
  <c r="AG15" i="6"/>
  <c r="AG3" i="6"/>
  <c r="AJ18" i="6"/>
  <c r="AJ6" i="6"/>
  <c r="AM6" i="6" s="1"/>
  <c r="AK19" i="6"/>
  <c r="AK7" i="6"/>
  <c r="AN7" i="6" s="1"/>
  <c r="AY19" i="6"/>
  <c r="AY7" i="6"/>
  <c r="AZ22" i="6"/>
  <c r="AZ10" i="6"/>
  <c r="AG17" i="6"/>
  <c r="AO13" i="6"/>
  <c r="AU13" i="6" s="1"/>
  <c r="AP14" i="6"/>
  <c r="AQ3" i="6"/>
  <c r="AW3" i="6" s="1"/>
  <c r="AS17" i="6"/>
  <c r="CN17" i="6" s="1"/>
  <c r="AZ12" i="6"/>
  <c r="AF25" i="6"/>
  <c r="AF13" i="6"/>
  <c r="AG26" i="6"/>
  <c r="AG14" i="6"/>
  <c r="AH2" i="6"/>
  <c r="AJ17" i="6"/>
  <c r="AJ5" i="6"/>
  <c r="AK18" i="6"/>
  <c r="AK6" i="6"/>
  <c r="AY18" i="6"/>
  <c r="AY6" i="6"/>
  <c r="AZ21" i="6"/>
  <c r="AZ9" i="6"/>
  <c r="AF24" i="6"/>
  <c r="AF12" i="6"/>
  <c r="AG25" i="6"/>
  <c r="AG13" i="6"/>
  <c r="AJ16" i="6"/>
  <c r="AJ4" i="6"/>
  <c r="AK17" i="6"/>
  <c r="AK5" i="6"/>
  <c r="AY17" i="6"/>
  <c r="AY5" i="6"/>
  <c r="AZ20" i="6"/>
  <c r="AZ8" i="6"/>
  <c r="AF23" i="6"/>
  <c r="AF11" i="6"/>
  <c r="AJ2" i="6"/>
  <c r="AJ15" i="6"/>
  <c r="AJ3" i="6"/>
  <c r="AK16" i="6"/>
  <c r="AK4" i="6"/>
  <c r="AZ19" i="6"/>
  <c r="AZ7" i="6"/>
  <c r="AF22" i="6"/>
  <c r="AF10" i="6"/>
  <c r="AJ26" i="6"/>
  <c r="AJ14" i="6"/>
  <c r="AK2" i="6"/>
  <c r="AK15" i="6"/>
  <c r="AK3" i="6"/>
  <c r="AY2" i="6"/>
  <c r="AZ18" i="6"/>
  <c r="AZ6" i="6"/>
  <c r="AJ25" i="6"/>
  <c r="AJ13" i="6"/>
  <c r="AK26" i="6"/>
  <c r="AK14" i="6"/>
  <c r="AJ24" i="6"/>
  <c r="AJ12" i="6"/>
  <c r="AK25" i="6"/>
  <c r="AK13" i="6"/>
  <c r="AJ23" i="6"/>
  <c r="AJ11" i="6"/>
  <c r="AK24" i="6"/>
  <c r="AK12" i="6"/>
  <c r="CM8" i="6" l="1"/>
  <c r="CO25" i="6"/>
  <c r="CK25" i="6"/>
  <c r="CI19" i="6"/>
  <c r="CM7" i="6"/>
  <c r="CM20" i="6"/>
  <c r="CN12" i="6"/>
  <c r="CJ12" i="6"/>
  <c r="CU18" i="6"/>
  <c r="CI13" i="6"/>
  <c r="AU6" i="6"/>
  <c r="AU8" i="6"/>
  <c r="CR22" i="6"/>
  <c r="CM19" i="6"/>
  <c r="CR12" i="6"/>
  <c r="CN24" i="6"/>
  <c r="CJ24" i="6"/>
  <c r="CI25" i="6"/>
  <c r="AU23" i="6"/>
  <c r="AU7" i="6"/>
  <c r="AW4" i="6"/>
  <c r="AU19" i="6"/>
  <c r="CU5" i="6"/>
  <c r="CH18" i="6"/>
  <c r="CR24" i="6"/>
  <c r="CM11" i="6"/>
  <c r="CR3" i="6"/>
  <c r="CH12" i="6"/>
  <c r="CR6" i="6"/>
  <c r="CR7" i="6"/>
  <c r="CM23" i="6"/>
  <c r="CR15" i="6"/>
  <c r="CH24" i="6"/>
  <c r="AL22" i="6"/>
  <c r="CR5" i="6"/>
  <c r="CR18" i="6"/>
  <c r="CR19" i="6"/>
  <c r="CK8" i="6"/>
  <c r="CO8" i="6"/>
  <c r="CR14" i="6"/>
  <c r="CL10" i="6"/>
  <c r="CR2" i="6"/>
  <c r="AW16" i="6"/>
  <c r="AU26" i="6"/>
  <c r="CR17" i="6"/>
  <c r="CO20" i="6"/>
  <c r="CK20" i="6"/>
  <c r="CU2" i="6"/>
  <c r="CU26" i="6"/>
  <c r="CU4" i="6"/>
  <c r="CR26" i="6"/>
  <c r="CL22" i="6"/>
  <c r="CM12" i="6"/>
  <c r="AV14" i="6"/>
  <c r="AV17" i="6"/>
  <c r="CJ19" i="6"/>
  <c r="CN19" i="6"/>
  <c r="CU14" i="6"/>
  <c r="CM24" i="6"/>
  <c r="CU15" i="6"/>
  <c r="CR9" i="6"/>
  <c r="CM6" i="6"/>
  <c r="CU23" i="6"/>
  <c r="CU25" i="6"/>
  <c r="CU3" i="6"/>
  <c r="CR21" i="6"/>
  <c r="CM18" i="6"/>
  <c r="CU16" i="6"/>
  <c r="CR4" i="6"/>
  <c r="CR10" i="6"/>
  <c r="CN9" i="6"/>
  <c r="CJ9" i="6"/>
  <c r="CR13" i="6"/>
  <c r="CR11" i="6"/>
  <c r="CU11" i="6"/>
  <c r="CR16" i="6"/>
  <c r="CU13" i="6"/>
  <c r="CJ21" i="6"/>
  <c r="CN21" i="6"/>
  <c r="CR25" i="6"/>
  <c r="CO13" i="6"/>
  <c r="CK13" i="6"/>
  <c r="CH2" i="6"/>
  <c r="CU6" i="6"/>
  <c r="AN15" i="6"/>
  <c r="AN13" i="6"/>
  <c r="AL23" i="6"/>
  <c r="AM19" i="6"/>
  <c r="AL4" i="6"/>
  <c r="AM26" i="6"/>
  <c r="AL25" i="6"/>
  <c r="AL13" i="6"/>
  <c r="AL15" i="6"/>
  <c r="AN16" i="6"/>
  <c r="AN3" i="6"/>
  <c r="AL19" i="6"/>
  <c r="AL18" i="6"/>
  <c r="AM24" i="6"/>
  <c r="AL16" i="6"/>
  <c r="AN25" i="6"/>
  <c r="AL12" i="6"/>
  <c r="AN20" i="6"/>
  <c r="AM21" i="6"/>
  <c r="AL20" i="6"/>
  <c r="AL10" i="6"/>
  <c r="AL3" i="6"/>
  <c r="AL8" i="6"/>
  <c r="AL26" i="6"/>
  <c r="AL17" i="6"/>
  <c r="AM12" i="6"/>
  <c r="AM14" i="6"/>
  <c r="AL24" i="6"/>
  <c r="AN4" i="6"/>
  <c r="AN18" i="6"/>
  <c r="AM9" i="6"/>
  <c r="AL7" i="6"/>
  <c r="AL6" i="6"/>
  <c r="AL2" i="6"/>
  <c r="AN11" i="6"/>
  <c r="AL9" i="6"/>
  <c r="AM5" i="6"/>
  <c r="AM17" i="6"/>
  <c r="AL14" i="6"/>
  <c r="AM22" i="6"/>
  <c r="AN2" i="6"/>
  <c r="AL11" i="6"/>
  <c r="AN8" i="6"/>
  <c r="AL5" i="6"/>
  <c r="AN23" i="6"/>
  <c r="AL21" i="6"/>
</calcChain>
</file>

<file path=xl/sharedStrings.xml><?xml version="1.0" encoding="utf-8"?>
<sst xmlns="http://schemas.openxmlformats.org/spreadsheetml/2006/main" count="4948" uniqueCount="984">
  <si>
    <t>ID</t>
  </si>
  <si>
    <t>Nationality</t>
  </si>
  <si>
    <t>Gender</t>
  </si>
  <si>
    <t>Age</t>
  </si>
  <si>
    <t>Audio file</t>
  </si>
  <si>
    <t>Date</t>
  </si>
  <si>
    <t>Start Physiological recording</t>
  </si>
  <si>
    <t>#1 Start 1.Baseline S1</t>
  </si>
  <si>
    <t>#2 End 1.Baseline S1</t>
  </si>
  <si>
    <t>#1 ECG - SDNN</t>
  </si>
  <si>
    <t>ECG-RMSSD</t>
  </si>
  <si>
    <t>#2 EDA - SCR onset</t>
  </si>
  <si>
    <t># 3 EDA - SCR latency or rise time</t>
  </si>
  <si>
    <t>#4 EDA - SCR peak amplitude</t>
  </si>
  <si>
    <t># 5 EDA - SCR peak prominence</t>
  </si>
  <si>
    <t>Start  DSP FW S1</t>
  </si>
  <si>
    <t>End  DSP FW S1</t>
  </si>
  <si>
    <t>Trials DSP FW</t>
  </si>
  <si>
    <t>Correct trials DSP FW</t>
  </si>
  <si>
    <t>#6 ECG - SDNN</t>
  </si>
  <si>
    <t>#7 EDA - SCR onset</t>
  </si>
  <si>
    <t># 8 EDA - SCR latency or rise time</t>
  </si>
  <si>
    <t>#9 EDA - SCR peak amplitude</t>
  </si>
  <si>
    <t># 10 EDA - SCR peak prominence</t>
  </si>
  <si>
    <t>#3 Start 2.Baseline S1</t>
  </si>
  <si>
    <t>#4 End 2. Baseline S1</t>
  </si>
  <si>
    <t>#11 ECG - SDNN</t>
  </si>
  <si>
    <t>ECG - RMSSD</t>
  </si>
  <si>
    <t>#12 EDA - SCR onset</t>
  </si>
  <si>
    <t># 13 EDA - SCR latency or rise time</t>
  </si>
  <si>
    <t>#14 EDA - SCR peak amplitude</t>
  </si>
  <si>
    <t># 15 EDA - SCR peak prominence</t>
  </si>
  <si>
    <t>Start  DSP BW S1</t>
  </si>
  <si>
    <t>End  DSP BW S1</t>
  </si>
  <si>
    <t>Trials DSP BW</t>
  </si>
  <si>
    <t>Correct trials DSP BW</t>
  </si>
  <si>
    <t>#16 ECG - SDNN</t>
  </si>
  <si>
    <t>#17 EDA - SCR onset</t>
  </si>
  <si>
    <t xml:space="preserve"> # 18 EDA - SCR latency or rise time</t>
  </si>
  <si>
    <t>#19 EDA - SCR peak amplitude</t>
  </si>
  <si>
    <t># 20 EDA - SCR peak prominence</t>
  </si>
  <si>
    <t>#5 Start 3. Baseline S1</t>
  </si>
  <si>
    <t>#6 End 3.  Baseline S1</t>
  </si>
  <si>
    <t>#21 ECG - SDNN</t>
  </si>
  <si>
    <t>#22 EDA - SCR onset</t>
  </si>
  <si>
    <t># 23 EDA - SCR latency or rise time</t>
  </si>
  <si>
    <t>#24 EDA - SCR peak amplitude</t>
  </si>
  <si>
    <t># 25 EDA - SCR peak prominence</t>
  </si>
  <si>
    <t>Start Memo S1</t>
  </si>
  <si>
    <t>End Memo S1</t>
  </si>
  <si>
    <t>AIsYourMemoryTriggeredByASpecificSoundOrOverallSoundscapeSoundS</t>
  </si>
  <si>
    <t>IfSoundPleaseSpecifyleaveBlankIfNotApplicable</t>
  </si>
  <si>
    <t>BDescribeYourMemoryInAsMuchDetailAsPossible</t>
  </si>
  <si>
    <t>CIsThisAMeaningfulEventYesNo</t>
  </si>
  <si>
    <t>IfYesSpecifyOtherwiseWriteNone</t>
  </si>
  <si>
    <t>DIsThisConnectedToAPersonYesNo</t>
  </si>
  <si>
    <t>IfYesSpecifyOtherwiseWriteNone_1</t>
  </si>
  <si>
    <t>EIsThisAssociatedWithAPlaceYesNo</t>
  </si>
  <si>
    <t>IfYesSpecifyOtherwiseWriteNone_2</t>
  </si>
  <si>
    <t>FIsThisLinkedToAnActivityYesNo</t>
  </si>
  <si>
    <t>IfYesSpecifyOtherwiseWriteNone_3</t>
  </si>
  <si>
    <t>GIsThisAssociatedWithAnObjectYesNo</t>
  </si>
  <si>
    <t>IfYesSpecifyOtherwiseWriteNone_4</t>
  </si>
  <si>
    <t>HIsThisConnectedToASpecificTimeYesNo</t>
  </si>
  <si>
    <t>IfYesSpecifyOtherwiseWriteNone_5</t>
  </si>
  <si>
    <t>IIsThisAssociatedWithAThoughtYesNo</t>
  </si>
  <si>
    <t>IfYesSpecifyOtherwiseWriteNone_6</t>
  </si>
  <si>
    <t>JIsThisConnectedToAnEmotionYesNo</t>
  </si>
  <si>
    <t>IfYesSpecifyOtherwiseWriteNone_7</t>
  </si>
  <si>
    <t>ToWhatExtentIsThePresentSoundEnvironmentAppropriateToThePlacePl</t>
  </si>
  <si>
    <t>DoesTheSoundscapeEvokeAnyEmotionsIfYesWhichOnes</t>
  </si>
  <si>
    <t>Agreement_PLEASANT</t>
  </si>
  <si>
    <t>Agreement_CHAOTIC</t>
  </si>
  <si>
    <t>Agreement_VIBRANT</t>
  </si>
  <si>
    <t>Agreement_UNEVENTFUL</t>
  </si>
  <si>
    <t>Agreement_CALM</t>
  </si>
  <si>
    <t>Agreement_ANNOYING</t>
  </si>
  <si>
    <t>Agreement_EVENTFUL</t>
  </si>
  <si>
    <t>Agreement_MONOTONOUS</t>
  </si>
  <si>
    <t>Agreement_QUIET</t>
  </si>
  <si>
    <t>Agreement_UNCOMFORTABLE</t>
  </si>
  <si>
    <t>Agreement_COMFORTABLE</t>
  </si>
  <si>
    <t>Agreement_NOTANNOYING</t>
  </si>
  <si>
    <t>Agreement_NOISY</t>
  </si>
  <si>
    <t>Agreement_EXHAUSTING</t>
  </si>
  <si>
    <t>Agreement_RELAXING</t>
  </si>
  <si>
    <t>Intensity_MechanicalSounds</t>
  </si>
  <si>
    <t>Intensity_HumanSounds</t>
  </si>
  <si>
    <t>Intensity_NaturalSounds</t>
  </si>
  <si>
    <t>#26 ECG - SDNN</t>
  </si>
  <si>
    <t>#27 EDA - SCR onset</t>
  </si>
  <si>
    <t># 28 EDA - SCR latency or rise time</t>
  </si>
  <si>
    <t>#29 EDA - SCR peak amplitude</t>
  </si>
  <si>
    <t># 30 EDA - SCR peak prominence</t>
  </si>
  <si>
    <t>Turkey</t>
  </si>
  <si>
    <t>male</t>
  </si>
  <si>
    <t>Te0</t>
  </si>
  <si>
    <t>11.12.2025</t>
  </si>
  <si>
    <t>NA</t>
  </si>
  <si>
    <t>China</t>
  </si>
  <si>
    <t>12.12.2025</t>
  </si>
  <si>
    <t>yes</t>
  </si>
  <si>
    <t>nervous</t>
  </si>
  <si>
    <t xml:space="preserve">it is a little bit noisy for me </t>
  </si>
  <si>
    <t>it is hard for me to remumber the number</t>
  </si>
  <si>
    <t>no</t>
  </si>
  <si>
    <t>none</t>
  </si>
  <si>
    <t>street</t>
  </si>
  <si>
    <t>in the morning</t>
  </si>
  <si>
    <t>80%</t>
  </si>
  <si>
    <t>yes nervous</t>
  </si>
  <si>
    <t>Disagree</t>
  </si>
  <si>
    <t>Agree</t>
  </si>
  <si>
    <t>Strongly disagree</t>
  </si>
  <si>
    <t>Strongly agree</t>
  </si>
  <si>
    <t>Dominates completely</t>
  </si>
  <si>
    <t>Not at all</t>
  </si>
  <si>
    <t>A little</t>
  </si>
  <si>
    <t>Singapore</t>
  </si>
  <si>
    <t>TE0+SL+10</t>
  </si>
  <si>
    <t>farm</t>
  </si>
  <si>
    <t>vehicles</t>
  </si>
  <si>
    <t>70</t>
  </si>
  <si>
    <t>Neither</t>
  </si>
  <si>
    <t>Moderately</t>
  </si>
  <si>
    <t>female</t>
  </si>
  <si>
    <t>Te0-10</t>
  </si>
  <si>
    <t>15.12.2025</t>
  </si>
  <si>
    <t>Soundscape</t>
  </si>
  <si>
    <t>None</t>
  </si>
  <si>
    <t>I can't remeber the long numbers in the reverse section.</t>
  </si>
  <si>
    <t>Yes</t>
  </si>
  <si>
    <t>It's the memory stuff but not caused by the background music.</t>
  </si>
  <si>
    <t>No</t>
  </si>
  <si>
    <t>A specific year</t>
  </si>
  <si>
    <t>20%</t>
  </si>
  <si>
    <t>Yes, relaxed.</t>
  </si>
  <si>
    <t>German</t>
  </si>
  <si>
    <t>TE0+HF+6</t>
  </si>
  <si>
    <t>sound</t>
  </si>
  <si>
    <t>traffic</t>
  </si>
  <si>
    <t>big city, urban traffic , rush hours</t>
  </si>
  <si>
    <t>big cities</t>
  </si>
  <si>
    <t>walking</t>
  </si>
  <si>
    <t>daytime</t>
  </si>
  <si>
    <t>hectic</t>
  </si>
  <si>
    <t>annoaynace, nervousness</t>
  </si>
  <si>
    <t>60%</t>
  </si>
  <si>
    <t>mixture of calm and annoyance</t>
  </si>
  <si>
    <t>India</t>
  </si>
  <si>
    <t>my memory is good enough</t>
  </si>
  <si>
    <t>NO</t>
  </si>
  <si>
    <t>NONE</t>
  </si>
  <si>
    <t>75</t>
  </si>
  <si>
    <t>No, not really</t>
  </si>
  <si>
    <t>A lot</t>
  </si>
  <si>
    <t>TE0</t>
  </si>
  <si>
    <t>16.12.2025</t>
  </si>
  <si>
    <t>ja, Klanglandschaft</t>
  </si>
  <si>
    <t>keine</t>
  </si>
  <si>
    <t>Ist wie ein Spa Besuch, Saunabesuch (da kommt so entspannte Musik)</t>
  </si>
  <si>
    <t>nein</t>
  </si>
  <si>
    <t>ja</t>
  </si>
  <si>
    <t>Sauna/ Spa Center</t>
  </si>
  <si>
    <t>saunieren</t>
  </si>
  <si>
    <t>eher so Entspannung, tatsächlich eher "weniger Gedanken"</t>
  </si>
  <si>
    <t>so pure Zufriedenheit</t>
  </si>
  <si>
    <t>1</t>
  </si>
  <si>
    <t>generell mit Verkehrsgeräuschen eher so ein Mix aus Stress und Zufriedenheit</t>
  </si>
  <si>
    <t>Weder noch</t>
  </si>
  <si>
    <t>Stimme nicht zu</t>
  </si>
  <si>
    <t>Stimme zu</t>
  </si>
  <si>
    <t>Stimme überhaupt nicht zu</t>
  </si>
  <si>
    <t>Stimme völlig zu</t>
  </si>
  <si>
    <t>Vollständig dominierend</t>
  </si>
  <si>
    <t>Gar nicht</t>
  </si>
  <si>
    <t>Durch die komplette Klanglandschaft</t>
  </si>
  <si>
    <t>Messungen an der Strehlener Strape und Radeberger Straße für ein Soundscape-Projekt, November, je eine halbe Stunde Aufnahmen</t>
  </si>
  <si>
    <t>Nein</t>
  </si>
  <si>
    <t>Ja</t>
  </si>
  <si>
    <t>Strehlener Straße, Radeberger Straße</t>
  </si>
  <si>
    <t>Geräuschmessung</t>
  </si>
  <si>
    <t>Messkopfhörer+Head Acoustics Gerät</t>
  </si>
  <si>
    <t>November</t>
  </si>
  <si>
    <t>Kalt und laut</t>
  </si>
  <si>
    <t>Schwer zu beschreiben, eine Mischung aus "will nach Hause (Abendaufnahme in der Radeberger Straße)" und "macht Spaß"</t>
  </si>
  <si>
    <t>70%</t>
  </si>
  <si>
    <t>Genervt/Stört</t>
  </si>
  <si>
    <t>Brazilien</t>
  </si>
  <si>
    <t>TE0-10</t>
  </si>
  <si>
    <t>17.12.2025</t>
  </si>
  <si>
    <t>Caminhar na rua / walk on the street</t>
  </si>
  <si>
    <t>90</t>
  </si>
  <si>
    <t>Tranquilidade / Calmness</t>
  </si>
  <si>
    <t>Ein wenig</t>
  </si>
  <si>
    <t>Klanglandschaft</t>
  </si>
  <si>
    <t>-</t>
  </si>
  <si>
    <t>Ich erinnere mich zum Flohmarkt an der Elbe zu gehen</t>
  </si>
  <si>
    <t>kein</t>
  </si>
  <si>
    <t>Ein Freund</t>
  </si>
  <si>
    <t>Flohmarkt an Elbe</t>
  </si>
  <si>
    <t>Auf Flohmarkt gehen</t>
  </si>
  <si>
    <t>DDR Schallplatte</t>
  </si>
  <si>
    <t>Herbst</t>
  </si>
  <si>
    <t>Entspannt</t>
  </si>
  <si>
    <t>89%</t>
  </si>
  <si>
    <t>Entspannung</t>
  </si>
  <si>
    <t>Stark</t>
  </si>
  <si>
    <t>Mäßig</t>
  </si>
  <si>
    <t>Ucraine</t>
  </si>
  <si>
    <t>Music soundss kind like typical LoFi mixtape</t>
  </si>
  <si>
    <t>Masking music</t>
  </si>
  <si>
    <t>Jus a picture of the animation girls which is doing their home work in a loop</t>
  </si>
  <si>
    <t>"LoFi" girl. It is a common meme in the Internet</t>
  </si>
  <si>
    <t>Cozy evenings</t>
  </si>
  <si>
    <t>Pleasence</t>
  </si>
  <si>
    <t>50%</t>
  </si>
  <si>
    <t>Yes, Pleasure</t>
  </si>
  <si>
    <t>Silently recite in one's mind</t>
  </si>
  <si>
    <t>peaceful</t>
  </si>
  <si>
    <t>18.12.2025</t>
  </si>
  <si>
    <t>yes,it is.</t>
  </si>
  <si>
    <t>it reminds me of the busy traffic when I was in high school.</t>
  </si>
  <si>
    <t>Every morning, mv father would drive me to school, and when the window was open, it sounded totally like that.</t>
  </si>
  <si>
    <t>high schoool time reminds of the best age of me, which is innocent and beautiful, it feels like full of hope.</t>
  </si>
  <si>
    <t>YES</t>
  </si>
  <si>
    <t>my father,and all my classmates</t>
  </si>
  <si>
    <t>the street to my high school</t>
  </si>
  <si>
    <t>attending class</t>
  </si>
  <si>
    <t>busy cars überall</t>
  </si>
  <si>
    <t>morning 6am to 8 am</t>
  </si>
  <si>
    <t>busy nut intersting, bucause a new day gonna start</t>
  </si>
  <si>
    <t>hope!</t>
  </si>
  <si>
    <t>yes,bright emotions.</t>
  </si>
  <si>
    <t>France</t>
  </si>
  <si>
    <t>100</t>
  </si>
  <si>
    <t>peaceful forest</t>
  </si>
  <si>
    <t>Dresden</t>
  </si>
  <si>
    <t>driving</t>
  </si>
  <si>
    <t xml:space="preserve">yes </t>
  </si>
  <si>
    <t>car</t>
  </si>
  <si>
    <t>morning</t>
  </si>
  <si>
    <t>quiet</t>
  </si>
  <si>
    <t>peasedful</t>
  </si>
  <si>
    <t>10%</t>
  </si>
  <si>
    <t>19.12.2025</t>
  </si>
  <si>
    <t>Landschaft</t>
  </si>
  <si>
    <t>schöne Fahrt am Elbufer in Dresden mit dem Auto</t>
  </si>
  <si>
    <t>seltene schöne angenehme stressfreie Fahrt mit angenehmer Erinnerung</t>
  </si>
  <si>
    <t>meine Kinder</t>
  </si>
  <si>
    <t>Elbufer in Dresden</t>
  </si>
  <si>
    <t>Fahrt mit Auto</t>
  </si>
  <si>
    <t>Auto</t>
  </si>
  <si>
    <t>abends</t>
  </si>
  <si>
    <t>Gedenke: Wie schön ist Dresden!</t>
  </si>
  <si>
    <t>Angenehm</t>
  </si>
  <si>
    <t>angenehm, beruhigend, gute Laune</t>
  </si>
  <si>
    <t>Sound</t>
  </si>
  <si>
    <t>Wind and running vehicle's sound.</t>
  </si>
  <si>
    <t>It trigeer my driving experience. I can hear the same sounds whiloe driving.</t>
  </si>
  <si>
    <t>These sounds are a part of my daily life.</t>
  </si>
  <si>
    <t>The sounds are from the same place where all the vehicles are passing through.</t>
  </si>
  <si>
    <t>Driving</t>
  </si>
  <si>
    <t>Cars</t>
  </si>
  <si>
    <t>It may be afternoon</t>
  </si>
  <si>
    <t xml:space="preserve">none </t>
  </si>
  <si>
    <t xml:space="preserve"> none</t>
  </si>
  <si>
    <t>like when I about to cross the street</t>
  </si>
  <si>
    <t xml:space="preserve">like when i cross the street to play basketball at my home </t>
  </si>
  <si>
    <t>playing basketball</t>
  </si>
  <si>
    <t>basketball</t>
  </si>
  <si>
    <t>more or less like what kind of training i need to do in the basketball court</t>
  </si>
  <si>
    <t>mostly relaxed</t>
  </si>
  <si>
    <t>40</t>
  </si>
  <si>
    <t>not really, maybe abit homesick</t>
  </si>
  <si>
    <t xml:space="preserve">no </t>
  </si>
  <si>
    <t>I was not focusing on the video or sound instead I focus more on trying to remember the number but at a certain point its just get hard to remember as the number is getting more and more</t>
  </si>
  <si>
    <t>I think its very interesting as it is trying to test my memory</t>
  </si>
  <si>
    <t>noi</t>
  </si>
  <si>
    <t>80</t>
  </si>
  <si>
    <t>06.01.2026</t>
  </si>
  <si>
    <t>soundscape</t>
  </si>
  <si>
    <t>a little bit annoying</t>
  </si>
  <si>
    <t>07.01.2026</t>
  </si>
  <si>
    <t>man auf der strasse</t>
  </si>
  <si>
    <t>gehen zur universität</t>
  </si>
  <si>
    <t>morgen oder abend</t>
  </si>
  <si>
    <t>07.01.2027</t>
  </si>
  <si>
    <t>Geräusch</t>
  </si>
  <si>
    <t>Ich stand auf ein Fußgängerüberführung in Peking</t>
  </si>
  <si>
    <t>Ich guckte nach unten, da fahrten viele Autos hin und her. Es war im Winter und der Wind war laut. Auch viele Leute lauften hinter mir. Rund um Fußgängerüberführung standen viele hohe Gebäude.</t>
  </si>
  <si>
    <t xml:space="preserve">Nein </t>
  </si>
  <si>
    <t>Die Straße vor der Bibliothek SLUB</t>
  </si>
  <si>
    <t>Winterspaziergang in Berlin</t>
  </si>
  <si>
    <t>Ein Glaskugel</t>
  </si>
  <si>
    <t>Oktober und November</t>
  </si>
  <si>
    <t>Ob das Leben zirkulär oder linear läuft</t>
  </si>
  <si>
    <t>ruhe, gelassen</t>
  </si>
  <si>
    <t>Ja. Melancholie</t>
  </si>
  <si>
    <t>08.01.2026</t>
  </si>
  <si>
    <t>like i am studying in my high school</t>
  </si>
  <si>
    <t>chill feeling</t>
  </si>
  <si>
    <t>60</t>
  </si>
  <si>
    <t>yes, i feel relaxed</t>
  </si>
  <si>
    <t>08.01.2027</t>
  </si>
  <si>
    <t>wenn ich auf den Straße stehe</t>
  </si>
  <si>
    <t>Keine</t>
  </si>
  <si>
    <t>Entspannend im Ferien</t>
  </si>
  <si>
    <t>95%</t>
  </si>
  <si>
    <t>Ja,entspannend</t>
  </si>
  <si>
    <t>Taiwan</t>
  </si>
  <si>
    <t>09.01.2026</t>
  </si>
  <si>
    <t>Geraüsch</t>
  </si>
  <si>
    <t>leer lassen</t>
  </si>
  <si>
    <t>wie zu Hause</t>
  </si>
  <si>
    <t>in unterwegs</t>
  </si>
  <si>
    <t>An Mongens</t>
  </si>
  <si>
    <t>Rühig</t>
  </si>
  <si>
    <t>90%</t>
  </si>
  <si>
    <t>Nien</t>
  </si>
  <si>
    <t xml:space="preserve"> </t>
  </si>
  <si>
    <t>#1 Start 1.Baseline S2</t>
  </si>
  <si>
    <t>#2 End 1.Baseline S2</t>
  </si>
  <si>
    <t>Start  DSP FW S2</t>
  </si>
  <si>
    <t>End  DSP FW S2</t>
  </si>
  <si>
    <t>#3 Start 2.Baseline S2</t>
  </si>
  <si>
    <t>#4 End 2. Baseline S2</t>
  </si>
  <si>
    <t>Start  DSP BW S2</t>
  </si>
  <si>
    <t>End  DSP BW S2</t>
  </si>
  <si>
    <t># 18 EDA - SCR latency or rise time</t>
  </si>
  <si>
    <t>#5 Start 3. Baseline S2</t>
  </si>
  <si>
    <t>#6 End 3.  Baseline S2</t>
  </si>
  <si>
    <t>Start Memo S2</t>
  </si>
  <si>
    <t>End Memo S2</t>
  </si>
  <si>
    <t>TE0+Sim+10</t>
  </si>
  <si>
    <t>less nervous</t>
  </si>
  <si>
    <t>the noise makes me nervous</t>
  </si>
  <si>
    <t>i don't know</t>
  </si>
  <si>
    <t>road</t>
  </si>
  <si>
    <t>walking on the street</t>
  </si>
  <si>
    <t>uncomfortable</t>
  </si>
  <si>
    <t>yes annoyed</t>
  </si>
  <si>
    <t>like classical music</t>
  </si>
  <si>
    <t>i went to a classical music concert it sounded similar</t>
  </si>
  <si>
    <t>a concert</t>
  </si>
  <si>
    <t>music performance</t>
  </si>
  <si>
    <t>30</t>
  </si>
  <si>
    <t>I feel it better.</t>
  </si>
  <si>
    <t>Historical Event</t>
  </si>
  <si>
    <t>Some meaningful years</t>
  </si>
  <si>
    <t>30%</t>
  </si>
  <si>
    <t>Yes, peaceful.</t>
  </si>
  <si>
    <t>looking to a tv and hearing white noise</t>
  </si>
  <si>
    <t>1980's television</t>
  </si>
  <si>
    <t>living home of my firt home</t>
  </si>
  <si>
    <t>watching tv</t>
  </si>
  <si>
    <t>tv</t>
  </si>
  <si>
    <t>childhood</t>
  </si>
  <si>
    <t>nervousness, axiety</t>
  </si>
  <si>
    <t>nervousness, hectic</t>
  </si>
  <si>
    <t>95</t>
  </si>
  <si>
    <t>Straße, laufen in der Stadt</t>
  </si>
  <si>
    <t>Fahrrad fahren, joggen</t>
  </si>
  <si>
    <t>Herbst, kältere Jahreszeit</t>
  </si>
  <si>
    <t>Starkregen/Autobahn</t>
  </si>
  <si>
    <t>Regen, der auf eine Straße prasselt</t>
  </si>
  <si>
    <t>Nachts</t>
  </si>
  <si>
    <t>Nass!</t>
  </si>
  <si>
    <t>Glücklich, dass es regnet</t>
  </si>
  <si>
    <t>Neutral</t>
  </si>
  <si>
    <t>Neine</t>
  </si>
  <si>
    <t>Caminhar na rua de manhã / Walk on the street during morning</t>
  </si>
  <si>
    <t>Manhã / Morning</t>
  </si>
  <si>
    <t>Não ter pressa / Not being in a hurry</t>
  </si>
  <si>
    <t>Musik</t>
  </si>
  <si>
    <t>Ich sitze im Bus und Fahre zu erster eigener Wohnung</t>
  </si>
  <si>
    <t>Umzug in erste eigene Wohnung</t>
  </si>
  <si>
    <t>Göttingen (erste eigene Wohnung)</t>
  </si>
  <si>
    <t>Umzug</t>
  </si>
  <si>
    <t>Bus</t>
  </si>
  <si>
    <t>Zeitpunkt des Umzugs</t>
  </si>
  <si>
    <t>Veränderung</t>
  </si>
  <si>
    <t>Unsicherheit</t>
  </si>
  <si>
    <t>65%</t>
  </si>
  <si>
    <t>Gemischte Gefühle</t>
  </si>
  <si>
    <t>Just some random busy street</t>
  </si>
  <si>
    <t>Overall experience connected with the road busy road. Sound connects with the waterfall.</t>
  </si>
  <si>
    <t>It looks for me like an evening during September</t>
  </si>
  <si>
    <t>Calm</t>
  </si>
  <si>
    <t>75%</t>
  </si>
  <si>
    <t>It also awoke pleasent and calm emotions</t>
  </si>
  <si>
    <t>afternoon</t>
  </si>
  <si>
    <t>calm</t>
  </si>
  <si>
    <t xml:space="preserve">rainy morning </t>
  </si>
  <si>
    <t>rainy morning, water on the ground, cars going by</t>
  </si>
  <si>
    <t>people go to work</t>
  </si>
  <si>
    <t>not exactly, it happens everywhere</t>
  </si>
  <si>
    <t>people may get late for job,because of the rainy weather</t>
  </si>
  <si>
    <t>busy cars still</t>
  </si>
  <si>
    <t>morning time 7am ca.</t>
  </si>
  <si>
    <t>kind of sad, since I HATE RAINY DAYS</t>
  </si>
  <si>
    <t>a little bit exhausted and tired</t>
  </si>
  <si>
    <t>10</t>
  </si>
  <si>
    <t>yes sadness a bit maybe</t>
  </si>
  <si>
    <t>melancholy</t>
  </si>
  <si>
    <t>white noise</t>
  </si>
  <si>
    <t>busy road</t>
  </si>
  <si>
    <t>crossroad</t>
  </si>
  <si>
    <t>traffic jam</t>
  </si>
  <si>
    <t>cars</t>
  </si>
  <si>
    <t>hoping but pushing</t>
  </si>
  <si>
    <t>a liitle nervous</t>
  </si>
  <si>
    <t>5%</t>
  </si>
  <si>
    <t>nothing</t>
  </si>
  <si>
    <t>landschaft</t>
  </si>
  <si>
    <t>Schöne angenehme Fahrt am Elbufer in Dresden</t>
  </si>
  <si>
    <t xml:space="preserve">sehr angenehme Erinnerungen </t>
  </si>
  <si>
    <t>Fahren mit Auto</t>
  </si>
  <si>
    <t>Sommerabend</t>
  </si>
  <si>
    <t>Wie schön ist Dresden</t>
  </si>
  <si>
    <t xml:space="preserve">glücklich, angenehm, </t>
  </si>
  <si>
    <t>angenehm, glücklich</t>
  </si>
  <si>
    <t>Wind sound</t>
  </si>
  <si>
    <t>It trigger my village experience</t>
  </si>
  <si>
    <t xml:space="preserve">It reminds me the pleasant weather and Suuny day </t>
  </si>
  <si>
    <t>My Hometown</t>
  </si>
  <si>
    <t>We sit in the similar place and enjoy the plesant weather.</t>
  </si>
  <si>
    <t>My car</t>
  </si>
  <si>
    <t>Mid day of a Sunny day</t>
  </si>
  <si>
    <t>I miss my hometown</t>
  </si>
  <si>
    <t>Like when i stay in my grandparents' place, i play in theiir balcony, and here the sound from the road</t>
  </si>
  <si>
    <t>my grandma</t>
  </si>
  <si>
    <t>grandparents' house</t>
  </si>
  <si>
    <t>playing in the balcony as a kid</t>
  </si>
  <si>
    <t>still a bit homesick, also missing my innocent childhood time</t>
  </si>
  <si>
    <t>yes, actually a bit sad for homesick</t>
  </si>
  <si>
    <t>I think its getting easier to remember as now I trying to get used to it</t>
  </si>
  <si>
    <t>Its very interesting</t>
  </si>
  <si>
    <t>20</t>
  </si>
  <si>
    <t>geräusch</t>
  </si>
  <si>
    <t>fen xin</t>
  </si>
  <si>
    <t>frei zeit park</t>
  </si>
  <si>
    <t>neim</t>
  </si>
  <si>
    <t>Karussell</t>
  </si>
  <si>
    <t>Kristallkugel im Weihnachtmarkt</t>
  </si>
  <si>
    <t>weinnacht</t>
  </si>
  <si>
    <t>Ruhezeit wenn ich Airpods benutze</t>
  </si>
  <si>
    <t>Ich lif auf eine laute Straße, hatte Kopfhörer an, dann hörte ich das Geräusch von Autos nicht mehr.</t>
  </si>
  <si>
    <t>Schwamm, Schnee, Zaodian auf einem alten Fernseher</t>
  </si>
  <si>
    <t>main road near my apartment</t>
  </si>
  <si>
    <t>sounds like the moring time that i went to school</t>
  </si>
  <si>
    <t>Wenn es regnet</t>
  </si>
  <si>
    <t>Straße</t>
  </si>
  <si>
    <t>Klausur</t>
  </si>
  <si>
    <t>Regen</t>
  </si>
  <si>
    <t>ruhig und lazy</t>
  </si>
  <si>
    <t>Gesamte Klangsndschaft</t>
  </si>
  <si>
    <t>falls nciht zutreffend</t>
  </si>
  <si>
    <t>kiene</t>
  </si>
  <si>
    <t>Nwin</t>
  </si>
  <si>
    <t>Sehr Rühig</t>
  </si>
  <si>
    <t>Rüfig</t>
  </si>
  <si>
    <t>#1 Start 1.Baseline S3</t>
  </si>
  <si>
    <t>#2 End 1.Baseline S3</t>
  </si>
  <si>
    <t>Start  DSP FW S3</t>
  </si>
  <si>
    <t>End  DSP FW S3</t>
  </si>
  <si>
    <t>#3 Start 2.Baseline S3</t>
  </si>
  <si>
    <t>#4 End 2. Baseline S3</t>
  </si>
  <si>
    <t>Start  DSP BW S3</t>
  </si>
  <si>
    <t>End  DSP BW S3</t>
  </si>
  <si>
    <t>#5 Start 3. Baseline S3</t>
  </si>
  <si>
    <t>#6 End 3.  Baseline S3</t>
  </si>
  <si>
    <t>Start Memo S3</t>
  </si>
  <si>
    <t>End Memo S3</t>
  </si>
  <si>
    <t>playing on the grass</t>
  </si>
  <si>
    <t>my parents</t>
  </si>
  <si>
    <t>turm</t>
  </si>
  <si>
    <t>plaza</t>
  </si>
  <si>
    <t>early morning</t>
  </si>
  <si>
    <t>40%</t>
  </si>
  <si>
    <t>yes peaceful</t>
  </si>
  <si>
    <t>Moch more easier to memory.</t>
  </si>
  <si>
    <t>It has connection to examinations' question.</t>
  </si>
  <si>
    <t>A meaningful year.</t>
  </si>
  <si>
    <t>Yes, I feel I'm in a hurry. Attention.</t>
  </si>
  <si>
    <t>calm place with traffic background</t>
  </si>
  <si>
    <t>like a backyard soundscape</t>
  </si>
  <si>
    <t>backyards</t>
  </si>
  <si>
    <t>to stay at home</t>
  </si>
  <si>
    <t>relaxation</t>
  </si>
  <si>
    <t>It is Good</t>
  </si>
  <si>
    <t>85</t>
  </si>
  <si>
    <t>Dresden Elbufer</t>
  </si>
  <si>
    <t>Fahrrad fahren</t>
  </si>
  <si>
    <t>Herbstlich, Frühling</t>
  </si>
  <si>
    <t>eine halbe stunde zu meiner ehemaligen Wohnung fahren (hin und zurück)</t>
  </si>
  <si>
    <t>Ausgeglichenheit (weil ich einfach extrem viel Sport gemacht habe)</t>
  </si>
  <si>
    <t>gesamte Klanglandschaft</t>
  </si>
  <si>
    <t>Wie bei erstem Versuch, Akustikmessungen an Strehlener Straße und Radeburger(?) Landstraße</t>
  </si>
  <si>
    <t>Radeburger Landstraße/Strehlener Straße</t>
  </si>
  <si>
    <t>Akustikmessungen vornehmen</t>
  </si>
  <si>
    <t>Head Acoustics Headphones/Geräte</t>
  </si>
  <si>
    <t>November, tagsüber</t>
  </si>
  <si>
    <t>macht Spaß</t>
  </si>
  <si>
    <t>Leichtes genervt sein</t>
  </si>
  <si>
    <t>I can't recall an exact memory, but it refers to the past (memory, right?).</t>
  </si>
  <si>
    <t>A little bit with some video games</t>
  </si>
  <si>
    <t>Childhood, adolescence</t>
  </si>
  <si>
    <t>Calma / Calmness</t>
  </si>
  <si>
    <t>Rauschen</t>
  </si>
  <si>
    <t>Die Waschmaschine ist kaputt gegangen und ich muss sie reparieren</t>
  </si>
  <si>
    <t>Freund</t>
  </si>
  <si>
    <t>meine Wohnung</t>
  </si>
  <si>
    <t>Waschmaschinenreparatur</t>
  </si>
  <si>
    <t>Waschmaschine</t>
  </si>
  <si>
    <t>Zeitpunkt, an dem Waschmaschine kapuut ging</t>
  </si>
  <si>
    <t>Wie nervig</t>
  </si>
  <si>
    <t>genervt sein</t>
  </si>
  <si>
    <t>Ja, angestrengt/genervt sein</t>
  </si>
  <si>
    <t>Just a some average paywement near road</t>
  </si>
  <si>
    <t>City road</t>
  </si>
  <si>
    <t>Walking</t>
  </si>
  <si>
    <t>Evening during the September</t>
  </si>
  <si>
    <t>micphone explods</t>
  </si>
  <si>
    <t>something wrong with my earings</t>
  </si>
  <si>
    <t>it means I can by new ones</t>
  </si>
  <si>
    <t>ves</t>
  </si>
  <si>
    <t>the dorm in high school</t>
  </si>
  <si>
    <t>stying up late and trying to listen some music</t>
  </si>
  <si>
    <t>phone</t>
  </si>
  <si>
    <t>late mid night</t>
  </si>
  <si>
    <t>sressful</t>
  </si>
  <si>
    <t>annoyed</t>
  </si>
  <si>
    <t>0</t>
  </si>
  <si>
    <t>piano sound</t>
  </si>
  <si>
    <t>one tree on grass with sunshine</t>
  </si>
  <si>
    <t>classic music ang nature</t>
  </si>
  <si>
    <t>my family</t>
  </si>
  <si>
    <t>gardon</t>
  </si>
  <si>
    <t>tree</t>
  </si>
  <si>
    <t>lay down on grass in a gardon</t>
  </si>
  <si>
    <t>happy</t>
  </si>
  <si>
    <t>miss to homeland</t>
  </si>
  <si>
    <t>Geräusch, Landschaft</t>
  </si>
  <si>
    <t>Straßengeräusch an stark befahrender Straße</t>
  </si>
  <si>
    <t>stark befahrene Straße am Elbufer. Ich kann als Fußgänger schwer auf die andere Seite kommen</t>
  </si>
  <si>
    <t>ich möchte ans Elbufer, um dort spazieren zu gehen</t>
  </si>
  <si>
    <t>mein Mann</t>
  </si>
  <si>
    <t xml:space="preserve">ja </t>
  </si>
  <si>
    <t>Straße am Elbufer in Dresden</t>
  </si>
  <si>
    <t>ich möchte die Straße überqueren</t>
  </si>
  <si>
    <t>viele Autos</t>
  </si>
  <si>
    <t xml:space="preserve">Sommerabend </t>
  </si>
  <si>
    <t>ich möchte auf die andere ruhige Seite</t>
  </si>
  <si>
    <t>etwas genervt</t>
  </si>
  <si>
    <t>nervig, etwas unangenehm</t>
  </si>
  <si>
    <t>The Music in the Sunny day</t>
  </si>
  <si>
    <t>It reminds me the listening to the music while sitting ini the similar place</t>
  </si>
  <si>
    <t>Reminds me the days I spent</t>
  </si>
  <si>
    <t>My hometown</t>
  </si>
  <si>
    <t xml:space="preserve">Spending time with my friends </t>
  </si>
  <si>
    <t>A Sunny day</t>
  </si>
  <si>
    <t>Missing my hometown and friends</t>
  </si>
  <si>
    <t>someone walking on the leaves</t>
  </si>
  <si>
    <t>walking to the campus to have class in autumn morning in dresden</t>
  </si>
  <si>
    <t>i would say the tram station of reichenbachstrasse or Nürberger Platz</t>
  </si>
  <si>
    <t>Going to have lecture or grocery shopping</t>
  </si>
  <si>
    <t>tress</t>
  </si>
  <si>
    <t>autumn</t>
  </si>
  <si>
    <t>a bit of joy because it's kind of fun to play around with the leaves</t>
  </si>
  <si>
    <t>a bit of joy and also a bit of sadness for the not longlasting autumn view</t>
  </si>
  <si>
    <t>its the same</t>
  </si>
  <si>
    <t>step on leaves</t>
  </si>
  <si>
    <t>way to university from my last appartment, step on yellow leaves, much yellow than leaves in video</t>
  </si>
  <si>
    <t>me</t>
  </si>
  <si>
    <t>forget the streetname, but it was halfway to university</t>
  </si>
  <si>
    <t>way to class</t>
  </si>
  <si>
    <t>leaf</t>
  </si>
  <si>
    <t>a little bit noisy</t>
  </si>
  <si>
    <t>neben  meine wohnung</t>
  </si>
  <si>
    <t>morgen  oder abend</t>
  </si>
  <si>
    <t>Straßen, aber eher am Stadtrand</t>
  </si>
  <si>
    <t>Staubsauger</t>
  </si>
  <si>
    <t>Winterferien</t>
  </si>
  <si>
    <t>Wo bin ich</t>
  </si>
  <si>
    <t>Tanzer</t>
  </si>
  <si>
    <t>Kinderheit</t>
  </si>
  <si>
    <t>0%</t>
  </si>
  <si>
    <t>klangandschaft</t>
  </si>
  <si>
    <t>falls nicht zutreffend</t>
  </si>
  <si>
    <t>zu Hause</t>
  </si>
  <si>
    <t>in Straße</t>
  </si>
  <si>
    <t xml:space="preserve">die Unterwegs zu der Uni </t>
  </si>
  <si>
    <t>rühig</t>
  </si>
  <si>
    <t>#1 Start 1.Baseline S4</t>
  </si>
  <si>
    <t>#2 End 1.Baseline S4</t>
  </si>
  <si>
    <t>Start  DSP FW S4</t>
  </si>
  <si>
    <t>End  DSP FW S4</t>
  </si>
  <si>
    <t>#3 Start 2.Baseline S4</t>
  </si>
  <si>
    <t>#4 End 2. Baseline S4</t>
  </si>
  <si>
    <t>Start  DSP BW S4</t>
  </si>
  <si>
    <t>End  DSP BW S4</t>
  </si>
  <si>
    <t>#5 Start 3. Baseline S4</t>
  </si>
  <si>
    <t>#6 End 3.  Baseline S4</t>
  </si>
  <si>
    <t>Start Memo S4</t>
  </si>
  <si>
    <t>End Memo S4</t>
  </si>
  <si>
    <t>Feedback</t>
  </si>
  <si>
    <t>The music</t>
  </si>
  <si>
    <t>Mostly focused on the test</t>
  </si>
  <si>
    <t>My cousinb</t>
  </si>
  <si>
    <t>The road</t>
  </si>
  <si>
    <t>10 years ago when she was spending some time with us</t>
  </si>
  <si>
    <t>The change of the life</t>
  </si>
  <si>
    <t>Yes. Curosity, sadness, hope</t>
  </si>
  <si>
    <t>Memory Test Time Limit</t>
  </si>
  <si>
    <t>it is peaceful</t>
  </si>
  <si>
    <t>inside the car</t>
  </si>
  <si>
    <t>sleeping</t>
  </si>
  <si>
    <t>window</t>
  </si>
  <si>
    <t>85%</t>
  </si>
  <si>
    <t xml:space="preserve">Learning time backward maybe loud </t>
  </si>
  <si>
    <t>vehicle noise while driving</t>
  </si>
  <si>
    <t>practice before test</t>
  </si>
  <si>
    <t>feeling sleepy</t>
  </si>
  <si>
    <t>music</t>
  </si>
  <si>
    <t>relaxing moment in the childhood</t>
  </si>
  <si>
    <t>time to go for a nap</t>
  </si>
  <si>
    <t>my mother</t>
  </si>
  <si>
    <t>my bed at home</t>
  </si>
  <si>
    <t>ciesta</t>
  </si>
  <si>
    <t>time to rest</t>
  </si>
  <si>
    <t>protection, care</t>
  </si>
  <si>
    <t>relax feelings</t>
  </si>
  <si>
    <t>no feedback</t>
  </si>
  <si>
    <t>It is good</t>
  </si>
  <si>
    <t>explain about long/short item</t>
  </si>
  <si>
    <t>irgendein Wasser fall (klingt so wie white noise)</t>
  </si>
  <si>
    <t>23</t>
  </si>
  <si>
    <t>Stress, weil es so lautes White noise ist</t>
  </si>
  <si>
    <t xml:space="preserve">explain not so clear,training </t>
  </si>
  <si>
    <t>Fahrstuhl, Telefon-Warteschleife</t>
  </si>
  <si>
    <t>eher abstrakt</t>
  </si>
  <si>
    <t>Fahrstuhl fahren, bei einer Hotline anrufen, insgesamt warten</t>
  </si>
  <si>
    <t>Telefon</t>
  </si>
  <si>
    <t>warte-Gefühl (hibbelig)</t>
  </si>
  <si>
    <t>Verwirrung</t>
  </si>
  <si>
    <t>explain is too long,masking is very good</t>
  </si>
  <si>
    <t>Estrada / Landstraße</t>
  </si>
  <si>
    <t>Autofahren</t>
  </si>
  <si>
    <t>Atenção / Aufmerksamkeit</t>
  </si>
  <si>
    <t>train&amp; distribute of number test</t>
  </si>
  <si>
    <t>Ich gehe mit meiner Familie über den Strand</t>
  </si>
  <si>
    <t>Familie</t>
  </si>
  <si>
    <t>Timmendorfer Strand</t>
  </si>
  <si>
    <t>Spazieren gehen, Steine und Muscheln suchen</t>
  </si>
  <si>
    <t>Strandgut</t>
  </si>
  <si>
    <t>Spätsommer</t>
  </si>
  <si>
    <t>Entspannung, Freude</t>
  </si>
  <si>
    <t>Ja, Enstpannung</t>
  </si>
  <si>
    <t>file name shoud not sehbar, no memory test is also ok</t>
  </si>
  <si>
    <t>Just a walk near busy road</t>
  </si>
  <si>
    <t>Some randome road</t>
  </si>
  <si>
    <t>Autumn evening</t>
  </si>
  <si>
    <t>Calm and pleasure</t>
  </si>
  <si>
    <t>Calm and pleasance</t>
  </si>
  <si>
    <t>with music session is hard to focus</t>
  </si>
  <si>
    <t>in dream</t>
  </si>
  <si>
    <t>dancing</t>
  </si>
  <si>
    <t>in the dark sea</t>
  </si>
  <si>
    <t>feel down</t>
  </si>
  <si>
    <t>feeling down</t>
  </si>
  <si>
    <t>feel tired in last session</t>
  </si>
  <si>
    <t>bgm of the game overcooked</t>
  </si>
  <si>
    <t>full of joy with my boyfriend playing games together</t>
  </si>
  <si>
    <t>playing overcooked especally series2</t>
  </si>
  <si>
    <t>my boyfriend</t>
  </si>
  <si>
    <t>my home</t>
  </si>
  <si>
    <t>playing overcooked 2</t>
  </si>
  <si>
    <t>TV and playing handles</t>
  </si>
  <si>
    <t>evening time after supper</t>
  </si>
  <si>
    <t>hoping this can last longer</t>
  </si>
  <si>
    <t>excited and relaxed</t>
  </si>
  <si>
    <t>joy and relax</t>
  </si>
  <si>
    <t>session 4 is too difficult to concentrate</t>
  </si>
  <si>
    <t>yes or no questions button, should use mouse klick</t>
  </si>
  <si>
    <t>cars and bike go through</t>
  </si>
  <si>
    <t>dresden</t>
  </si>
  <si>
    <t>noon</t>
  </si>
  <si>
    <t>daily life boring</t>
  </si>
  <si>
    <t>session 4 is more simillar to real enviroment</t>
  </si>
  <si>
    <t>starker Verkehrslärm</t>
  </si>
  <si>
    <t xml:space="preserve">ich stehe genervt an stark befahender Straße </t>
  </si>
  <si>
    <t>ich möchte auf die andere ruhigere Seite ans Elbufer, um dort spazieren zu gehen</t>
  </si>
  <si>
    <t>Straße am Elbufer</t>
  </si>
  <si>
    <t>ich möchte queren</t>
  </si>
  <si>
    <t>viele Autos ein Radfahrer</t>
  </si>
  <si>
    <t>unangenehm, nervig, aufgeregt</t>
  </si>
  <si>
    <t>genervt, aufgeregt</t>
  </si>
  <si>
    <t>ja, nervig, aufgeregt</t>
  </si>
  <si>
    <t>1h is too long, but music is most pleasant.</t>
  </si>
  <si>
    <t>Sound of the wind</t>
  </si>
  <si>
    <t>My experience, parking the my car at the similar place and relaxing</t>
  </si>
  <si>
    <t>It reminds my days spent in my hometown</t>
  </si>
  <si>
    <t>my friends</t>
  </si>
  <si>
    <t>similar place near my hometown</t>
  </si>
  <si>
    <t>long drive with my car</t>
  </si>
  <si>
    <t>my car</t>
  </si>
  <si>
    <t>Sunny day. mid day</t>
  </si>
  <si>
    <t>Missing my hometown and freinds</t>
  </si>
  <si>
    <t>session 4 is very good</t>
  </si>
  <si>
    <t>Basically playing some video games with my girlfriend</t>
  </si>
  <si>
    <t>like companion time for us because in we are in long distance</t>
  </si>
  <si>
    <t>my girlfriend</t>
  </si>
  <si>
    <t>playing video games</t>
  </si>
  <si>
    <t>a tablet</t>
  </si>
  <si>
    <t>usually in the late afternoon</t>
  </si>
  <si>
    <t>not really</t>
  </si>
  <si>
    <t>joy for playing games and also missing</t>
  </si>
  <si>
    <t>slightness of joy and also misiing</t>
  </si>
  <si>
    <t xml:space="preserve">interface for DSp is too small,too many questions </t>
  </si>
  <si>
    <t>getting very used to how its work so its easy to memorise now</t>
  </si>
  <si>
    <t>its very fun</t>
  </si>
  <si>
    <t>S1,S3,S4 are too similar,fondsize should bigger</t>
  </si>
  <si>
    <t>confusing</t>
  </si>
  <si>
    <t>S2 most uncomfortable,and then is S2</t>
  </si>
  <si>
    <t>strom geräusch</t>
  </si>
  <si>
    <t>radio</t>
  </si>
  <si>
    <t>25</t>
  </si>
  <si>
    <t>DST time is too short,S3 most comfortable</t>
  </si>
  <si>
    <t>In der Nacht wenn man im Bett liegt. hört man solche Geräusch von Autos draußen, auch wenn die Fenster zu sind.</t>
  </si>
  <si>
    <t>Man sieht das Licht von Auto, es dreht im dunklen Zimmer, das Zimmer wird auf einmal hell und wieder dunkel.</t>
  </si>
  <si>
    <t>Wenn man in einem geschlossenen Raum bleibt, z.B. in einem Auto oder in einem ruhigen Zimmer</t>
  </si>
  <si>
    <t>ShaLou</t>
  </si>
  <si>
    <t>loop has influence to memory</t>
  </si>
  <si>
    <t>main road</t>
  </si>
  <si>
    <t>moring rush hour</t>
  </si>
  <si>
    <t>ans Meer</t>
  </si>
  <si>
    <t>Ans Meer</t>
  </si>
  <si>
    <t>TV ohne Signal</t>
  </si>
  <si>
    <t>nervös</t>
  </si>
  <si>
    <t xml:space="preserve"> 11:30:55</t>
  </si>
  <si>
    <t>S1_Label</t>
  </si>
  <si>
    <t>S2_Label</t>
  </si>
  <si>
    <t>S3_Label</t>
  </si>
  <si>
    <t>S4_Label</t>
  </si>
  <si>
    <t>Te0+Sim+10</t>
  </si>
  <si>
    <t>TE0+Sim +10</t>
  </si>
  <si>
    <t>DSP BW Score S1</t>
    <phoneticPr fontId="4" type="noConversion"/>
  </si>
  <si>
    <t>DSP BW Score S2</t>
    <phoneticPr fontId="4" type="noConversion"/>
  </si>
  <si>
    <t>DSP BW Score S3</t>
    <phoneticPr fontId="4" type="noConversion"/>
  </si>
  <si>
    <t>DSP BW Score S4</t>
    <phoneticPr fontId="4" type="noConversion"/>
  </si>
  <si>
    <t>DSP Forward S1</t>
    <phoneticPr fontId="4" type="noConversion"/>
  </si>
  <si>
    <t>DSP Forward S2</t>
    <phoneticPr fontId="4" type="noConversion"/>
  </si>
  <si>
    <t>DSP Forward S3</t>
    <phoneticPr fontId="4" type="noConversion"/>
  </si>
  <si>
    <t>DSP Forward S4</t>
    <phoneticPr fontId="4" type="noConversion"/>
  </si>
  <si>
    <t xml:space="preserve"> </t>
    <phoneticPr fontId="4" type="noConversion"/>
  </si>
  <si>
    <t>TE0+SL+10</t>
    <phoneticPr fontId="4" type="noConversion"/>
  </si>
  <si>
    <t>S1_Δpeakamp_BW</t>
    <phoneticPr fontId="4" type="noConversion"/>
  </si>
  <si>
    <t>S2_Δpeakamp_BW</t>
    <phoneticPr fontId="4" type="noConversion"/>
  </si>
  <si>
    <t>S3_Δpeakamp_BW</t>
    <phoneticPr fontId="4" type="noConversion"/>
  </si>
  <si>
    <t>S4_Δpeakamp_BW</t>
    <phoneticPr fontId="4" type="noConversion"/>
  </si>
  <si>
    <t>S1_Δrisetime_BW</t>
    <phoneticPr fontId="4" type="noConversion"/>
  </si>
  <si>
    <t>S2_Δrisetime_BW</t>
    <phoneticPr fontId="4" type="noConversion"/>
  </si>
  <si>
    <t>S3_Δrisetime_BW</t>
    <phoneticPr fontId="4" type="noConversion"/>
  </si>
  <si>
    <t>S4_Δrisetime_BW</t>
    <phoneticPr fontId="4" type="noConversion"/>
  </si>
  <si>
    <t>S1_ΔRMSSD_BW</t>
    <phoneticPr fontId="4" type="noConversion"/>
  </si>
  <si>
    <t>S2_ΔRMSSD_BW</t>
    <phoneticPr fontId="4" type="noConversion"/>
  </si>
  <si>
    <t>S3_ΔRMSSD_BW</t>
    <phoneticPr fontId="4" type="noConversion"/>
  </si>
  <si>
    <t>S4_ΔRMSSD_BW</t>
    <phoneticPr fontId="4" type="noConversion"/>
  </si>
  <si>
    <t>S1_Δpeakamp_FW</t>
    <phoneticPr fontId="4" type="noConversion"/>
  </si>
  <si>
    <t>S2_Δpeakamp_FW</t>
    <phoneticPr fontId="4" type="noConversion"/>
  </si>
  <si>
    <t>S3_Δpeakamp_FW</t>
    <phoneticPr fontId="4" type="noConversion"/>
  </si>
  <si>
    <t>S4_Δpeakamp_FW</t>
    <phoneticPr fontId="4" type="noConversion"/>
  </si>
  <si>
    <t>S1_Δrisetime_FW</t>
    <phoneticPr fontId="4" type="noConversion"/>
  </si>
  <si>
    <t>S2_Δrisetime_FW</t>
    <phoneticPr fontId="4" type="noConversion"/>
  </si>
  <si>
    <t>S3_Δrisetime_FW</t>
    <phoneticPr fontId="4" type="noConversion"/>
  </si>
  <si>
    <t>S4_Δrisetime_FW</t>
    <phoneticPr fontId="4" type="noConversion"/>
  </si>
  <si>
    <t>S1_ΔRMSSD_FW</t>
    <phoneticPr fontId="4" type="noConversion"/>
  </si>
  <si>
    <t>S2_ΔRMSSD_FW</t>
    <phoneticPr fontId="4" type="noConversion"/>
  </si>
  <si>
    <t>S3_ΔRMSSD_FW</t>
    <phoneticPr fontId="4" type="noConversion"/>
  </si>
  <si>
    <t>S4_ΔRMSSD_FW</t>
    <phoneticPr fontId="4" type="noConversion"/>
  </si>
  <si>
    <t>ΔSDNN S1_FW</t>
    <phoneticPr fontId="4" type="noConversion"/>
  </si>
  <si>
    <t>ΔSDNN S2_FW</t>
    <phoneticPr fontId="4" type="noConversion"/>
  </si>
  <si>
    <t>ΔSDNN S3_FW</t>
    <phoneticPr fontId="4" type="noConversion"/>
  </si>
  <si>
    <t>ΔSDNN S4_FW</t>
    <phoneticPr fontId="4" type="noConversion"/>
  </si>
  <si>
    <t>ΔSDNN S1_BW</t>
    <phoneticPr fontId="4" type="noConversion"/>
  </si>
  <si>
    <r>
      <t>ΔSDNN S2_</t>
    </r>
    <r>
      <rPr>
        <sz val="11"/>
        <color theme="1"/>
        <rFont val="等线"/>
        <family val="3"/>
        <charset val="134"/>
        <scheme val="minor"/>
      </rPr>
      <t>B</t>
    </r>
    <r>
      <rPr>
        <sz val="11"/>
        <color theme="1"/>
        <rFont val="等线"/>
        <family val="2"/>
        <scheme val="minor"/>
      </rPr>
      <t>W</t>
    </r>
    <phoneticPr fontId="4" type="noConversion"/>
  </si>
  <si>
    <t>ΔSDNN S3_BW</t>
    <phoneticPr fontId="4" type="noConversion"/>
  </si>
  <si>
    <t>ΔSDNN S4_BW</t>
    <phoneticPr fontId="4" type="noConversion"/>
  </si>
  <si>
    <t>zΔMean_PeakAmp_Water_BW</t>
    <phoneticPr fontId="4" type="noConversion"/>
  </si>
  <si>
    <t>zΔMean_PeakAmp_Simple_BW</t>
    <phoneticPr fontId="4" type="noConversion"/>
  </si>
  <si>
    <t>zΔMean_PeakAmp_Sleep_BW</t>
    <phoneticPr fontId="4" type="noConversion"/>
  </si>
  <si>
    <t>zΔMean_Risetime_Water_BW</t>
    <phoneticPr fontId="4" type="noConversion"/>
  </si>
  <si>
    <t>zΔMean_Risetime_Music_Simple_BW</t>
    <phoneticPr fontId="4" type="noConversion"/>
  </si>
  <si>
    <t>zΔMean_Risetime_Music_Sleep_BW</t>
    <phoneticPr fontId="4" type="noConversion"/>
  </si>
  <si>
    <t>ΔMean_PeakAmp_Traffic_BW</t>
    <phoneticPr fontId="4" type="noConversion"/>
  </si>
  <si>
    <t>ΔMean_PeakAmp_Water_BW</t>
    <phoneticPr fontId="4" type="noConversion"/>
  </si>
  <si>
    <t>ΔMean_PeakAmp_Music_Simple_BW</t>
    <phoneticPr fontId="4" type="noConversion"/>
  </si>
  <si>
    <t>ΔMean_PeakAmp_Music_Sleep_BW</t>
    <phoneticPr fontId="4" type="noConversion"/>
  </si>
  <si>
    <t>ΔMean_PeakAmp_Traffic_FW</t>
    <phoneticPr fontId="4" type="noConversion"/>
  </si>
  <si>
    <t>ΔMean_PeakAmp_Water_FW</t>
    <phoneticPr fontId="4" type="noConversion"/>
  </si>
  <si>
    <t>ΔMean_PeakAmp_Music_Simple_FW</t>
    <phoneticPr fontId="4" type="noConversion"/>
  </si>
  <si>
    <t>ΔMean_PeakAmp_Music_Sleep_FW</t>
    <phoneticPr fontId="4" type="noConversion"/>
  </si>
  <si>
    <t>ΔMean_Risetime_Traffic_FW</t>
    <phoneticPr fontId="4" type="noConversion"/>
  </si>
  <si>
    <t>ΔMean_Risetime_Water_FW</t>
    <phoneticPr fontId="4" type="noConversion"/>
  </si>
  <si>
    <t>ΔMean_Risetime_Music_Simple_FW</t>
    <phoneticPr fontId="4" type="noConversion"/>
  </si>
  <si>
    <t>ΔMean_Risetime_Music_Sleep_FW</t>
    <phoneticPr fontId="4" type="noConversion"/>
  </si>
  <si>
    <t>ΔRMSSD_Traffic_FW</t>
    <phoneticPr fontId="4" type="noConversion"/>
  </si>
  <si>
    <t>ΔRMSSD_Water_FW</t>
    <phoneticPr fontId="4" type="noConversion"/>
  </si>
  <si>
    <t>ΔRMSSD_Music_Simple_FW</t>
    <phoneticPr fontId="4" type="noConversion"/>
  </si>
  <si>
    <t>ΔRMSSD_Music_Sleep_FW</t>
    <phoneticPr fontId="4" type="noConversion"/>
  </si>
  <si>
    <t>ΔSDNN_Traffic_FW</t>
    <phoneticPr fontId="4" type="noConversion"/>
  </si>
  <si>
    <t>ΔSDNN_Water_FW</t>
    <phoneticPr fontId="4" type="noConversion"/>
  </si>
  <si>
    <t>ΔSDNN_Music_Simple_FW</t>
    <phoneticPr fontId="4" type="noConversion"/>
  </si>
  <si>
    <t>ΔSDNN_Music_Sleep_FW</t>
    <phoneticPr fontId="4" type="noConversion"/>
  </si>
  <si>
    <t>zΔMean_PeakAmp_Water_FW</t>
    <phoneticPr fontId="4" type="noConversion"/>
  </si>
  <si>
    <t>zΔMean_PeakAmp_Simple_FW</t>
    <phoneticPr fontId="4" type="noConversion"/>
  </si>
  <si>
    <t>zΔMean_PeakAmp_Sleep_FW</t>
    <phoneticPr fontId="4" type="noConversion"/>
  </si>
  <si>
    <t>zΔMean_Risetime_Water_FW</t>
    <phoneticPr fontId="4" type="noConversion"/>
  </si>
  <si>
    <t>zΔMean_PeakAmp_Traffic_FW</t>
    <phoneticPr fontId="4" type="noConversion"/>
  </si>
  <si>
    <t>zΔMean_Risetime_Traffic_FW</t>
    <phoneticPr fontId="4" type="noConversion"/>
  </si>
  <si>
    <t>zΔMean_Risetime_Music_Simple_FW</t>
    <phoneticPr fontId="4" type="noConversion"/>
  </si>
  <si>
    <t>zΔMean_Risetime_Music_Sleep_FW</t>
    <phoneticPr fontId="4" type="noConversion"/>
  </si>
  <si>
    <t>zΔRMSSD_Traffic_FW</t>
    <phoneticPr fontId="4" type="noConversion"/>
  </si>
  <si>
    <t>zΔRMSSD_Water_FW</t>
    <phoneticPr fontId="4" type="noConversion"/>
  </si>
  <si>
    <t>zΔRMSSD_Music_Simple_FW</t>
    <phoneticPr fontId="4" type="noConversion"/>
  </si>
  <si>
    <t>zΔRMSSD_Music_Sleep_FW</t>
    <phoneticPr fontId="4" type="noConversion"/>
  </si>
  <si>
    <t>C1_Water_FW</t>
    <phoneticPr fontId="4" type="noConversion"/>
  </si>
  <si>
    <t>C1_Traffic_FW</t>
    <phoneticPr fontId="4" type="noConversion"/>
  </si>
  <si>
    <t>C1_Music_Simple_FW</t>
    <phoneticPr fontId="4" type="noConversion"/>
  </si>
  <si>
    <t>C1_Music_Sleep_FW</t>
    <phoneticPr fontId="4" type="noConversion"/>
  </si>
  <si>
    <t>C2_Traffic_FW</t>
    <phoneticPr fontId="4" type="noConversion"/>
  </si>
  <si>
    <t>C2_Water_FW</t>
    <phoneticPr fontId="4" type="noConversion"/>
  </si>
  <si>
    <t>C2_Music_Simple_FW</t>
    <phoneticPr fontId="4" type="noConversion"/>
  </si>
  <si>
    <t>C2_Music_Sleep_FW</t>
    <phoneticPr fontId="4" type="noConversion"/>
  </si>
  <si>
    <t>zΔSDNN_Water_FW</t>
    <phoneticPr fontId="4" type="noConversion"/>
  </si>
  <si>
    <t>zΔSDNN_Music_Simple_FW</t>
    <phoneticPr fontId="4" type="noConversion"/>
  </si>
  <si>
    <t>zΔSDNN_Music_Sleep_FW</t>
    <phoneticPr fontId="4" type="noConversion"/>
  </si>
  <si>
    <t>ΔMean_PeakAmp_Traffic-10dB_BW</t>
    <phoneticPr fontId="4" type="noConversion"/>
  </si>
  <si>
    <t>ΔMean_Risetime_Traffic_BW</t>
    <phoneticPr fontId="4" type="noConversion"/>
  </si>
  <si>
    <t>ΔMean_Risetime_Water_BW</t>
    <phoneticPr fontId="4" type="noConversion"/>
  </si>
  <si>
    <t>ΔMean_Risetime_Music_Simple_BW</t>
    <phoneticPr fontId="4" type="noConversion"/>
  </si>
  <si>
    <t>ΔMean_Risetime_Music_Sleep_BW</t>
    <phoneticPr fontId="4" type="noConversion"/>
  </si>
  <si>
    <t>ΔMean_Risetime_Traffic-10dB_BW</t>
    <phoneticPr fontId="4" type="noConversion"/>
  </si>
  <si>
    <t>ΔRMSSD_Traffic_BW</t>
    <phoneticPr fontId="4" type="noConversion"/>
  </si>
  <si>
    <t>ΔRMSSD_Water_BW</t>
    <phoneticPr fontId="4" type="noConversion"/>
  </si>
  <si>
    <t>ΔRMSSD_Music_Simple_BW</t>
    <phoneticPr fontId="4" type="noConversion"/>
  </si>
  <si>
    <t>ΔRMSSD_Music_Sleep_BW</t>
    <phoneticPr fontId="4" type="noConversion"/>
  </si>
  <si>
    <t>ΔRMSSD_Traffic-10dB_BW</t>
    <phoneticPr fontId="4" type="noConversion"/>
  </si>
  <si>
    <t>ΔSDNN_Traffic-10dB_FW</t>
    <phoneticPr fontId="4" type="noConversion"/>
  </si>
  <si>
    <t>zΔRMSSD_Water_BW</t>
    <phoneticPr fontId="4" type="noConversion"/>
  </si>
  <si>
    <t>zΔRMSSD_Simple_BW</t>
    <phoneticPr fontId="4" type="noConversion"/>
  </si>
  <si>
    <t>zΔRMSSD_Sleep_BW</t>
    <phoneticPr fontId="4" type="noConversion"/>
  </si>
  <si>
    <t>zΔSDNN_Water_BW</t>
    <phoneticPr fontId="4" type="noConversion"/>
  </si>
  <si>
    <t>zΔSDNN_Music_Simple_BW</t>
    <phoneticPr fontId="4" type="noConversion"/>
  </si>
  <si>
    <t>ΔEDA/Traffic_BW</t>
    <phoneticPr fontId="4" type="noConversion"/>
  </si>
  <si>
    <t>ΔEDA/Water_BW</t>
    <phoneticPr fontId="4" type="noConversion"/>
  </si>
  <si>
    <t>ΔEDA/Music_Simple_BW</t>
    <phoneticPr fontId="4" type="noConversion"/>
  </si>
  <si>
    <t>ΔEDA/Music_Sleep_BW</t>
    <phoneticPr fontId="4" type="noConversion"/>
  </si>
  <si>
    <t>ΔSDNN_Traffic_BW</t>
    <phoneticPr fontId="4" type="noConversion"/>
  </si>
  <si>
    <t>ΔSDNN_Water_BW</t>
    <phoneticPr fontId="4" type="noConversion"/>
  </si>
  <si>
    <t>ΔSDNN_Music_Simple_BW</t>
    <phoneticPr fontId="4" type="noConversion"/>
  </si>
  <si>
    <t>ΔSDNN_Music_Sleep_BW</t>
    <phoneticPr fontId="4" type="noConversion"/>
  </si>
  <si>
    <t>zΔSDNN_Traffic_BW</t>
    <phoneticPr fontId="4" type="noConversion"/>
  </si>
  <si>
    <t>zΔSDNN_Music_Sleep_BW</t>
    <phoneticPr fontId="4" type="noConversion"/>
  </si>
  <si>
    <t>C1_Water_BW</t>
    <phoneticPr fontId="4" type="noConversion"/>
  </si>
  <si>
    <t>C1_Music_Simple_BW</t>
    <phoneticPr fontId="4" type="noConversion"/>
  </si>
  <si>
    <t>C1_Music_Sleep_BW</t>
    <phoneticPr fontId="4" type="noConversion"/>
  </si>
  <si>
    <t>C2_Water_BW</t>
    <phoneticPr fontId="4" type="noConversion"/>
  </si>
  <si>
    <t>C2_Music_Simple_BW</t>
    <phoneticPr fontId="4" type="noConversion"/>
  </si>
  <si>
    <t>C2_Music_Sleep_BW</t>
    <phoneticPr fontId="4" type="noConversion"/>
  </si>
  <si>
    <t>DSP Score_Traffic_BW</t>
    <phoneticPr fontId="4" type="noConversion"/>
  </si>
  <si>
    <t>DSP Score_Water_BW</t>
    <phoneticPr fontId="4" type="noConversion"/>
  </si>
  <si>
    <t>DSP Score_Music_Simple_BW</t>
    <phoneticPr fontId="4" type="noConversion"/>
  </si>
  <si>
    <t>DSP Score_Music_Sleep_BW</t>
    <phoneticPr fontId="4" type="noConversion"/>
  </si>
  <si>
    <t>DSP Score_Traffic-10dB_BW</t>
    <phoneticPr fontId="4" type="noConversion"/>
  </si>
  <si>
    <t>DSP Score_Traffic_FW</t>
    <phoneticPr fontId="4" type="noConversion"/>
  </si>
  <si>
    <t>DSP Score_Water_FW</t>
    <phoneticPr fontId="4" type="noConversion"/>
  </si>
  <si>
    <t>DSP Score_Music_Simple_FW</t>
    <phoneticPr fontId="4" type="noConversion"/>
  </si>
  <si>
    <t>DSP Score_Music_Sleep_FW</t>
    <phoneticPr fontId="4" type="noConversion"/>
  </si>
  <si>
    <t>DSP Score_Traffic-10dB_FW</t>
    <phoneticPr fontId="4" type="noConversion"/>
  </si>
  <si>
    <t>zΔSDNN _Traffic_FW</t>
    <phoneticPr fontId="4" type="noConversion"/>
  </si>
  <si>
    <t>zΔRMSSD_Traffic_BW</t>
    <phoneticPr fontId="4" type="noConversion"/>
  </si>
  <si>
    <t>zΔMean_PeakAmp_Traffic_BW</t>
    <phoneticPr fontId="4" type="noConversion"/>
  </si>
  <si>
    <t>zΔMean_Risetime_Traffic_BW</t>
    <phoneticPr fontId="4" type="noConversion"/>
  </si>
  <si>
    <t>C2_Traffic_BW</t>
    <phoneticPr fontId="4" type="noConversion"/>
  </si>
  <si>
    <t>C1_Traffic_BW</t>
    <phoneticPr fontId="4" type="noConversion"/>
  </si>
  <si>
    <t>分组</t>
  </si>
  <si>
    <t>DSPScoreFW</t>
  </si>
  <si>
    <t>C1_BW</t>
  </si>
  <si>
    <t>C2_BW</t>
  </si>
  <si>
    <t>C1_FW</t>
  </si>
  <si>
    <t>C2_FW</t>
  </si>
  <si>
    <t>.926411997613103</t>
  </si>
  <si>
    <t>.751197104955009</t>
  </si>
  <si>
    <t>.332934226703111</t>
  </si>
  <si>
    <t>1.316404042544990</t>
  </si>
  <si>
    <t>1.006117793066520</t>
  </si>
  <si>
    <t>.025623461360508</t>
  </si>
  <si>
    <t>.810970202419978</t>
  </si>
  <si>
    <t>3.228736380509150</t>
  </si>
  <si>
    <t>1.378938732217690</t>
  </si>
  <si>
    <t>.158623839562885</t>
  </si>
  <si>
    <t>1.742869299823620</t>
  </si>
  <si>
    <t>.182235040391930</t>
  </si>
  <si>
    <t>.481591809524836</t>
  </si>
  <si>
    <t>.754227595813863</t>
  </si>
  <si>
    <t>4.180311498288340</t>
  </si>
  <si>
    <t>1.756142939365250</t>
  </si>
  <si>
    <t>.064013343404558</t>
  </si>
  <si>
    <t>1.559125999240420</t>
  </si>
  <si>
    <t>.051399074866707</t>
  </si>
  <si>
    <t>.891537159719475</t>
  </si>
  <si>
    <t>.975821736354898</t>
  </si>
  <si>
    <t>.139565866692565</t>
  </si>
  <si>
    <t>.183021563052826</t>
  </si>
  <si>
    <t>.042298428514783</t>
  </si>
  <si>
    <t>.923753023064159</t>
  </si>
  <si>
    <t>1.125868711799380</t>
  </si>
  <si>
    <t>4.082542041566170</t>
  </si>
  <si>
    <t>1.577731380232950</t>
  </si>
  <si>
    <t>1.716621612731900</t>
  </si>
  <si>
    <t>7.850073876619770</t>
  </si>
  <si>
    <t>3.416554887855770</t>
  </si>
  <si>
    <t>5.674972552363330</t>
  </si>
  <si>
    <t>.589769608227843</t>
  </si>
  <si>
    <t>.443382664142396</t>
  </si>
  <si>
    <t>.207801773427549</t>
  </si>
  <si>
    <t>1.761578548976420</t>
  </si>
  <si>
    <t>2.129236060857740</t>
  </si>
  <si>
    <t>.806937944634044</t>
  </si>
  <si>
    <t>.380035677988555</t>
  </si>
  <si>
    <t>1.751379123896400</t>
  </si>
  <si>
    <t>.144217605578651</t>
  </si>
  <si>
    <t>1.765713826267290</t>
  </si>
  <si>
    <t>3.305050151549190</t>
  </si>
  <si>
    <t>.389180667030816</t>
  </si>
  <si>
    <t>.627099523253751</t>
  </si>
  <si>
    <t>.040017332275734</t>
  </si>
  <si>
    <t>2.869112396400390</t>
  </si>
  <si>
    <t>.011371648443562</t>
  </si>
  <si>
    <t>.552945638426314</t>
  </si>
  <si>
    <t>.418627171766226</t>
  </si>
  <si>
    <t>.274216758509829</t>
  </si>
  <si>
    <t>.272766583897581</t>
  </si>
  <si>
    <t>.378215796024557</t>
  </si>
  <si>
    <t>.454721883827820</t>
  </si>
  <si>
    <t>.381141794882572</t>
  </si>
  <si>
    <t>.256724211724383</t>
  </si>
  <si>
    <t>1.902841256955440</t>
  </si>
  <si>
    <t>.633671914601833</t>
  </si>
  <si>
    <t>1.038193416398760</t>
  </si>
  <si>
    <t>.097992422982400</t>
  </si>
  <si>
    <t>.433561746775136</t>
  </si>
  <si>
    <t>.198269843848934</t>
  </si>
  <si>
    <t>.270090256381149</t>
  </si>
  <si>
    <t>.912621334657239</t>
  </si>
  <si>
    <t>1.087117813941680</t>
  </si>
  <si>
    <t>.495581245478308</t>
  </si>
  <si>
    <t>.501681485858558</t>
  </si>
  <si>
    <t>.030959030325584</t>
  </si>
  <si>
    <t>3.667557037236280</t>
  </si>
  <si>
    <t>.407837872988659</t>
  </si>
  <si>
    <t>1.160626294646150</t>
  </si>
  <si>
    <t>.543546838500391</t>
  </si>
  <si>
    <t>2.157180937701450</t>
  </si>
  <si>
    <t>2.528622506058780</t>
  </si>
  <si>
    <t>1.794299664647820</t>
  </si>
  <si>
    <t>2.484339802975020</t>
  </si>
  <si>
    <t>.486795509418669</t>
  </si>
  <si>
    <t>.209008244209103</t>
  </si>
  <si>
    <t>.238485689790630</t>
  </si>
  <si>
    <t>.982837445042546</t>
  </si>
  <si>
    <t>.953477505953133</t>
  </si>
  <si>
    <t>.414252436613677</t>
  </si>
  <si>
    <t>2.724232278145360</t>
  </si>
  <si>
    <t>2.658816956010530</t>
  </si>
  <si>
    <t>1.345614205413130</t>
  </si>
  <si>
    <t>2.679860724030400</t>
  </si>
  <si>
    <t>1.278397580904370</t>
  </si>
  <si>
    <t>DSPScore_BW</t>
    <phoneticPr fontId="4" type="noConversion"/>
  </si>
  <si>
    <t>1= Water</t>
    <phoneticPr fontId="4" type="noConversion"/>
  </si>
  <si>
    <t>2=Simple</t>
    <phoneticPr fontId="4" type="noConversion"/>
  </si>
  <si>
    <t>3=Sleep</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</si>
</sst>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h:mm;@"/>
    <numFmt numFmtId="177" formatCode="[$-F400]h:mm:ss\ AM/PM"/>
    <numFmt numFmtId="178" formatCode="0.0000E+00"/>
    <numFmt numFmtId="179" formatCode="0.000E+00"/>
  </numFmts>
  <fonts count="15">
    <font>
      <sz val="11"/>
      <color theme="1"/>
      <name val="等线"/>
      <family val="2"/>
      <scheme val="minor"/>
    </font>
    <font>
      <sz val="9"/>
      <color rgb="FF29313D"/>
      <name val="Arial"/>
      <family val="2"/>
    </font>
    <font>
      <sz val="10"/>
      <color theme="1"/>
      <name val="Arial Unicode MS"/>
    </font>
    <font>
      <sz val="11"/>
      <color rgb="FF333333"/>
      <name val="Courier New"/>
      <family val="3"/>
    </font>
    <font>
      <sz val="9"/>
      <name val="等线"/>
      <family val="3"/>
      <charset val="134"/>
      <scheme val="minor"/>
    </font>
    <font>
      <sz val="11"/>
      <name val="Calibri"/>
      <family val="2"/>
    </font>
    <font>
      <sz val="10"/>
      <color theme="1"/>
      <name val="等线"/>
      <family val="3"/>
      <charset val="134"/>
      <scheme val="minor"/>
    </font>
    <font>
      <b/>
      <sz val="11"/>
      <color theme="1"/>
      <name val="等线"/>
      <family val="3"/>
      <charset val="134"/>
      <scheme val="minor"/>
    </font>
    <font>
      <sz val="11"/>
      <color theme="1"/>
      <name val="等线"/>
      <family val="3"/>
      <charset val="134"/>
      <scheme val="minor"/>
    </font>
    <font>
      <sz val="11"/>
      <color rgb="FF0070C0"/>
      <name val="等线"/>
      <family val="3"/>
      <charset val="134"/>
      <scheme val="minor"/>
    </font>
    <font>
      <b/>
      <sz val="11"/>
      <color rgb="FF0070C0"/>
      <name val="等线"/>
      <family val="3"/>
      <charset val="134"/>
      <scheme val="minor"/>
    </font>
    <font>
      <sz val="11"/>
      <color rgb="FFFF0000"/>
      <name val="等线"/>
      <family val="3"/>
      <charset val="134"/>
      <scheme val="minor"/>
    </font>
    <font>
      <sz val="11"/>
      <color rgb="FF00B050"/>
      <name val="等线"/>
      <family val="2"/>
      <scheme val="minor"/>
    </font>
    <font>
      <sz val="11"/>
      <color rgb="FF00B050"/>
      <name val="等线"/>
      <family val="3"/>
      <charset val="134"/>
      <scheme val="minor"/>
    </font>
    <font>
      <b/>
      <sz val="11"/>
      <color rgb="FFFF0000"/>
      <name val="等线"/>
      <family val="3"/>
      <charset val="134"/>
      <scheme val="minor"/>
    </font>
  </fonts>
  <fills count="6">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21" fontId="0" fillId="0" borderId="0" xfId="0" applyNumberFormat="1"/>
    <xf numFmtId="21" fontId="2" fillId="0" borderId="0" xfId="0" applyNumberFormat="1" applyFont="1" applyAlignment="1">
      <alignment vertical="center"/>
    </xf>
    <xf numFmtId="0" fontId="0" fillId="2" borderId="0" xfId="0" applyFill="1"/>
    <xf numFmtId="0" fontId="1" fillId="2" borderId="0" xfId="0" applyFont="1" applyFill="1"/>
    <xf numFmtId="0" fontId="0" fillId="3" borderId="0" xfId="0" applyFill="1"/>
    <xf numFmtId="0" fontId="0" fillId="4" borderId="0" xfId="0" applyFill="1"/>
    <xf numFmtId="20" fontId="0" fillId="0" borderId="0" xfId="0" applyNumberFormat="1"/>
    <xf numFmtId="0" fontId="0" fillId="0" borderId="0" xfId="0" applyAlignment="1">
      <alignment horizontal="left" wrapText="1"/>
    </xf>
    <xf numFmtId="21" fontId="3" fillId="0" borderId="0" xfId="0" applyNumberFormat="1" applyFont="1"/>
    <xf numFmtId="176" fontId="0" fillId="0" borderId="0" xfId="0" applyNumberFormat="1"/>
    <xf numFmtId="177" fontId="0" fillId="0" borderId="0" xfId="0" applyNumberFormat="1"/>
    <xf numFmtId="176" fontId="2" fillId="0" borderId="0" xfId="0" applyNumberFormat="1" applyFont="1" applyAlignment="1">
      <alignment vertical="center"/>
    </xf>
    <xf numFmtId="0" fontId="5" fillId="0" borderId="0" xfId="0" applyFont="1"/>
    <xf numFmtId="21" fontId="0" fillId="5" borderId="0" xfId="0" applyNumberFormat="1" applyFill="1"/>
    <xf numFmtId="0" fontId="0" fillId="5" borderId="0" xfId="0" applyFill="1"/>
    <xf numFmtId="9" fontId="0" fillId="0" borderId="0" xfId="0" applyNumberFormat="1"/>
    <xf numFmtId="21" fontId="6" fillId="0" borderId="0" xfId="0" applyNumberFormat="1" applyFont="1" applyAlignment="1">
      <alignment vertical="center"/>
    </xf>
    <xf numFmtId="0" fontId="0" fillId="0" borderId="0" xfId="0" applyAlignment="1">
      <alignment horizontal="right"/>
    </xf>
    <xf numFmtId="0" fontId="7" fillId="2" borderId="0" xfId="0" applyFont="1" applyFill="1"/>
    <xf numFmtId="178" fontId="0" fillId="0" borderId="0" xfId="0" applyNumberFormat="1"/>
    <xf numFmtId="179" fontId="0" fillId="0" borderId="0" xfId="0" applyNumberFormat="1"/>
    <xf numFmtId="0" fontId="9" fillId="0" borderId="0" xfId="0" applyFont="1"/>
    <xf numFmtId="0" fontId="10" fillId="0" borderId="0" xfId="0" applyFont="1"/>
    <xf numFmtId="179" fontId="11" fillId="0" borderId="0" xfId="0" applyNumberFormat="1" applyFont="1"/>
    <xf numFmtId="0" fontId="11" fillId="0" borderId="0" xfId="0" applyFont="1"/>
    <xf numFmtId="0" fontId="8" fillId="0" borderId="0" xfId="0" applyFont="1"/>
    <xf numFmtId="0" fontId="12" fillId="0" borderId="0" xfId="0" applyFont="1"/>
    <xf numFmtId="0" fontId="13" fillId="0" borderId="0" xfId="0" applyFont="1"/>
    <xf numFmtId="0" fontId="14" fillId="0" borderId="0" xfId="0" applyFont="1"/>
    <xf numFmtId="179" fontId="14" fillId="0" borderId="0" xfId="0" applyNumberFormat="1" applyFont="1"/>
    <xf numFmtId="0" fontId="0" fillId="0" borderId="0" xfId="0" applyAlignment="1">
      <alignment vertical="center"/>
    </xf>
    <xf numFmtId="0" fontId="0" fillId="0" borderId="0" xfId="0" quotePrefix="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2"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3"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4"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ransi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1 Datalog+Results"/>
      <sheetName val="S2 Datalog + Results"/>
      <sheetName val="S3 Datalog + Results"/>
      <sheetName val="S4 Datalog + Results"/>
      <sheetName val="guodubiaoge"/>
      <sheetName val="Stat"/>
      <sheetName val="Stat for H3&amp;H4"/>
      <sheetName val="S1 Datalog + Results"/>
    </sheetNames>
    <sheetDataSet>
      <sheetData sheetId="0">
        <row r="2">
          <cell r="J2">
            <v>346.11452541880197</v>
          </cell>
          <cell r="K2">
            <v>412.97972105177399</v>
          </cell>
          <cell r="M2">
            <v>0.48764285714285599</v>
          </cell>
          <cell r="N2">
            <v>1.04507996088327E-2</v>
          </cell>
          <cell r="S2">
            <v>4</v>
          </cell>
          <cell r="T2">
            <v>96.483194385119504</v>
          </cell>
          <cell r="U2">
            <v>129.533536441097</v>
          </cell>
          <cell r="W2">
            <v>0.50135632183908097</v>
          </cell>
          <cell r="X2">
            <v>8.0647733178692404E-3</v>
          </cell>
          <cell r="AB2">
            <v>200.584162107281</v>
          </cell>
          <cell r="AC2">
            <v>262.50767184556298</v>
          </cell>
          <cell r="AE2">
            <v>0.551111111111111</v>
          </cell>
          <cell r="AF2">
            <v>9.1131882077010798E-3</v>
          </cell>
          <cell r="AK2">
            <v>4</v>
          </cell>
          <cell r="AL2">
            <v>59.913144975253097</v>
          </cell>
          <cell r="AM2">
            <v>60.130907422036103</v>
          </cell>
          <cell r="AO2">
            <v>0.56734939759036096</v>
          </cell>
          <cell r="AP2">
            <v>9.1395096205615506E-3</v>
          </cell>
        </row>
        <row r="3">
          <cell r="J3">
            <v>126.057633601478</v>
          </cell>
          <cell r="K3">
            <v>133.88948219566501</v>
          </cell>
          <cell r="M3">
            <v>0.48313043478260698</v>
          </cell>
          <cell r="N3">
            <v>5.58719976953642E-3</v>
          </cell>
          <cell r="S3">
            <v>7</v>
          </cell>
          <cell r="T3">
            <v>52.570187810817899</v>
          </cell>
          <cell r="U3">
            <v>43.826563597522799</v>
          </cell>
          <cell r="W3">
            <v>0.491433333333333</v>
          </cell>
          <cell r="X3">
            <v>5.6631193181434503E-3</v>
          </cell>
          <cell r="AB3">
            <v>120.609083674301</v>
          </cell>
          <cell r="AC3">
            <v>86.354071363345099</v>
          </cell>
          <cell r="AE3">
            <v>0.50320430107526903</v>
          </cell>
          <cell r="AF3">
            <v>5.5875305598369401E-3</v>
          </cell>
          <cell r="AK3">
            <v>4</v>
          </cell>
          <cell r="AL3">
            <v>227.26773732899699</v>
          </cell>
          <cell r="AM3">
            <v>178.97323903269699</v>
          </cell>
          <cell r="AO3">
            <v>0.45014285714285701</v>
          </cell>
          <cell r="AP3">
            <v>6.0734997734743596E-3</v>
          </cell>
        </row>
        <row r="4">
          <cell r="J4">
            <v>381.19983823011501</v>
          </cell>
          <cell r="K4">
            <v>408.72973955903802</v>
          </cell>
          <cell r="M4">
            <v>0.55060674157303302</v>
          </cell>
          <cell r="N4">
            <v>6.0616971883641997E-3</v>
          </cell>
          <cell r="S4">
            <v>7</v>
          </cell>
          <cell r="T4">
            <v>377.19034660998102</v>
          </cell>
          <cell r="U4">
            <v>524.58265598755997</v>
          </cell>
          <cell r="W4">
            <v>0.460273972602739</v>
          </cell>
          <cell r="X4">
            <v>5.8369453678089704E-3</v>
          </cell>
          <cell r="AB4">
            <v>68.569500856453104</v>
          </cell>
          <cell r="AC4">
            <v>84.436493723937801</v>
          </cell>
          <cell r="AE4">
            <v>0.52128089887640505</v>
          </cell>
          <cell r="AF4">
            <v>6.9602331713290999E-3</v>
          </cell>
          <cell r="AK4">
            <v>6</v>
          </cell>
          <cell r="AL4">
            <v>0</v>
          </cell>
          <cell r="AM4">
            <v>850.66620950875995</v>
          </cell>
          <cell r="AO4">
            <v>0.47746875</v>
          </cell>
          <cell r="AP4">
            <v>7.5365238432414799E-3</v>
          </cell>
        </row>
        <row r="5">
          <cell r="J5">
            <v>33.486555424461898</v>
          </cell>
          <cell r="K5">
            <v>17.4055273103804</v>
          </cell>
          <cell r="M5">
            <v>0.51036842105263203</v>
          </cell>
          <cell r="N5">
            <v>2.1444646752853201E-2</v>
          </cell>
          <cell r="S5">
            <v>6</v>
          </cell>
          <cell r="T5">
            <v>89.015546711724895</v>
          </cell>
          <cell r="U5">
            <v>88.644566415148205</v>
          </cell>
          <cell r="W5">
            <v>0.50836363636363602</v>
          </cell>
          <cell r="X5">
            <v>2.07260203264324E-2</v>
          </cell>
          <cell r="AB5">
            <v>80.204880507004503</v>
          </cell>
          <cell r="AC5">
            <v>86.931734348174899</v>
          </cell>
          <cell r="AE5">
            <v>0.50870000000000004</v>
          </cell>
          <cell r="AF5">
            <v>1.94150336529046E-2</v>
          </cell>
          <cell r="AK5">
            <v>5</v>
          </cell>
          <cell r="AL5">
            <v>117.18343304185299</v>
          </cell>
          <cell r="AM5">
            <v>760.19660859604801</v>
          </cell>
          <cell r="AO5">
            <v>0.55763636363636304</v>
          </cell>
          <cell r="AP5">
            <v>1.8907513892180799E-2</v>
          </cell>
        </row>
        <row r="6">
          <cell r="J6">
            <v>51.882484948956403</v>
          </cell>
          <cell r="K6">
            <v>64.169696898146597</v>
          </cell>
          <cell r="M6">
            <v>0.57029213483146102</v>
          </cell>
          <cell r="N6">
            <v>7.5153146980598802E-3</v>
          </cell>
          <cell r="S6">
            <v>4</v>
          </cell>
          <cell r="T6">
            <v>38.825554516414797</v>
          </cell>
          <cell r="W6">
            <v>0.47013636363636402</v>
          </cell>
          <cell r="X6">
            <v>7.3973587624466697E-3</v>
          </cell>
          <cell r="AC6">
            <v>613.30359049793105</v>
          </cell>
          <cell r="AE6">
            <v>0.47768750000000099</v>
          </cell>
          <cell r="AF6">
            <v>6.5180286795523601E-3</v>
          </cell>
          <cell r="AK6">
            <v>6</v>
          </cell>
          <cell r="AL6">
            <v>10.408606933690701</v>
          </cell>
          <cell r="AM6">
            <v>5.0485448277744203</v>
          </cell>
          <cell r="AO6">
            <v>0.50195061728395096</v>
          </cell>
          <cell r="AP6">
            <v>6.3190886366396998E-3</v>
          </cell>
        </row>
        <row r="7">
          <cell r="J7">
            <v>71.300039242675695</v>
          </cell>
          <cell r="K7">
            <v>71.561055158407996</v>
          </cell>
          <cell r="M7">
            <v>0.46197802197802201</v>
          </cell>
          <cell r="N7">
            <v>1.0678407349485599E-2</v>
          </cell>
          <cell r="S7">
            <v>6</v>
          </cell>
          <cell r="T7">
            <v>64.871459392110097</v>
          </cell>
          <cell r="U7">
            <v>67.668371836542505</v>
          </cell>
          <cell r="W7">
            <v>0.53080519480519495</v>
          </cell>
          <cell r="X7">
            <v>1.03668332482311E-2</v>
          </cell>
          <cell r="AB7">
            <v>114.132897353622</v>
          </cell>
          <cell r="AC7">
            <v>126.439381892009</v>
          </cell>
          <cell r="AE7">
            <v>0.54148888888888902</v>
          </cell>
          <cell r="AF7">
            <v>9.0576422398334702E-3</v>
          </cell>
          <cell r="AK7">
            <v>4</v>
          </cell>
          <cell r="AL7">
            <v>86.775674254606898</v>
          </cell>
          <cell r="AM7">
            <v>124.714184866746</v>
          </cell>
          <cell r="AO7">
            <v>0.469321428571428</v>
          </cell>
          <cell r="AP7">
            <v>8.3578973703274401E-3</v>
          </cell>
        </row>
        <row r="8">
          <cell r="J8">
            <v>101.93327422709299</v>
          </cell>
          <cell r="K8">
            <v>125.229113768533</v>
          </cell>
          <cell r="M8">
            <v>0.50988636363636397</v>
          </cell>
          <cell r="N8">
            <v>1.1098812042933301E-2</v>
          </cell>
          <cell r="S8">
            <v>6</v>
          </cell>
          <cell r="T8">
            <v>66.769540686853006</v>
          </cell>
          <cell r="U8">
            <v>55.822625495773998</v>
          </cell>
          <cell r="W8">
            <v>0.55159139784946198</v>
          </cell>
          <cell r="X8">
            <v>1.1962867531949299E-2</v>
          </cell>
          <cell r="AB8">
            <v>0</v>
          </cell>
          <cell r="AC8"/>
          <cell r="AE8">
            <v>0.53843181818181796</v>
          </cell>
          <cell r="AF8">
            <v>1.1731117953341899E-2</v>
          </cell>
          <cell r="AK8">
            <v>5</v>
          </cell>
          <cell r="AL8">
            <v>359.78938633000701</v>
          </cell>
          <cell r="AM8">
            <v>522.98641708253695</v>
          </cell>
          <cell r="AO8">
            <v>0.49104109589041001</v>
          </cell>
          <cell r="AP8">
            <v>1.12184010875873E-2</v>
          </cell>
        </row>
        <row r="9">
          <cell r="J9">
            <v>88.730912035220499</v>
          </cell>
          <cell r="K9">
            <v>100.284988644206</v>
          </cell>
          <cell r="M9">
            <v>0.56280952380952398</v>
          </cell>
          <cell r="N9">
            <v>1.36471087434244E-2</v>
          </cell>
          <cell r="S9">
            <v>6</v>
          </cell>
          <cell r="T9">
            <v>53.501622762606601</v>
          </cell>
          <cell r="U9">
            <v>47.945712706210301</v>
          </cell>
          <cell r="W9">
            <v>0.54142465753424596</v>
          </cell>
          <cell r="X9">
            <v>1.16226867855486E-2</v>
          </cell>
          <cell r="AB9">
            <v>54.3468531510022</v>
          </cell>
          <cell r="AC9">
            <v>50.276199165525703</v>
          </cell>
          <cell r="AE9">
            <v>0.54872527472527399</v>
          </cell>
          <cell r="AF9">
            <v>1.19053671220315E-2</v>
          </cell>
          <cell r="AK9">
            <v>6</v>
          </cell>
          <cell r="AL9">
            <v>50.584678158801502</v>
          </cell>
          <cell r="AM9">
            <v>42.481737094629203</v>
          </cell>
          <cell r="AO9">
            <v>0.51349333333333402</v>
          </cell>
          <cell r="AP9">
            <v>1.1365190926526599E-2</v>
          </cell>
        </row>
        <row r="10">
          <cell r="J10">
            <v>146.20855460336799</v>
          </cell>
          <cell r="K10">
            <v>190.621530111201</v>
          </cell>
          <cell r="M10">
            <v>0.55117777777777699</v>
          </cell>
          <cell r="N10">
            <v>1.1178580262551301E-2</v>
          </cell>
          <cell r="S10">
            <v>8</v>
          </cell>
          <cell r="T10">
            <v>37.427884249977097</v>
          </cell>
          <cell r="U10">
            <v>53.667928740938798</v>
          </cell>
          <cell r="W10">
            <v>0.50762499999999999</v>
          </cell>
          <cell r="X10">
            <v>1.06975103636051E-2</v>
          </cell>
          <cell r="AB10">
            <v>93.789411814201401</v>
          </cell>
          <cell r="AC10">
            <v>120.997601548212</v>
          </cell>
          <cell r="AE10">
            <v>0.484759493670886</v>
          </cell>
          <cell r="AF10">
            <v>1.1380587680445999E-2</v>
          </cell>
          <cell r="AK10">
            <v>8</v>
          </cell>
          <cell r="AL10">
            <v>91.116985060102806</v>
          </cell>
          <cell r="AM10">
            <v>121.44300179328501</v>
          </cell>
          <cell r="AO10">
            <v>0.49004819277108402</v>
          </cell>
          <cell r="AP10">
            <v>1.20256152153981E-2</v>
          </cell>
        </row>
        <row r="11">
          <cell r="J11">
            <v>62.081738562687001</v>
          </cell>
          <cell r="K11">
            <v>56.913418935273803</v>
          </cell>
          <cell r="M11">
            <v>0.52700000000000002</v>
          </cell>
          <cell r="N11">
            <v>7.5966674326174303E-3</v>
          </cell>
          <cell r="S11">
            <v>5</v>
          </cell>
          <cell r="T11">
            <v>47.899240018367301</v>
          </cell>
          <cell r="U11">
            <v>41.337547009863897</v>
          </cell>
          <cell r="W11">
            <v>0.55644067796610097</v>
          </cell>
          <cell r="X11">
            <v>8.2715626352060905E-3</v>
          </cell>
          <cell r="AB11">
            <v>469.55703543213002</v>
          </cell>
          <cell r="AC11">
            <v>655.49879226942005</v>
          </cell>
          <cell r="AE11">
            <v>0.48599999999999999</v>
          </cell>
          <cell r="AF11">
            <v>7.3008443110264302E-3</v>
          </cell>
          <cell r="AK11">
            <v>5</v>
          </cell>
          <cell r="AL11">
            <v>258.30185182711398</v>
          </cell>
          <cell r="AM11">
            <v>326.86754397515199</v>
          </cell>
          <cell r="AO11">
            <v>0.65975000000000095</v>
          </cell>
          <cell r="AP11">
            <v>7.5613306561052904E-2</v>
          </cell>
        </row>
        <row r="12">
          <cell r="J12">
            <v>95.982434957508701</v>
          </cell>
          <cell r="K12">
            <v>122.205688505201</v>
          </cell>
          <cell r="M12">
            <v>0.51383908045977</v>
          </cell>
          <cell r="N12">
            <v>9.2462536543948606E-3</v>
          </cell>
          <cell r="S12">
            <v>5</v>
          </cell>
          <cell r="T12">
            <v>95.542726455844999</v>
          </cell>
          <cell r="U12">
            <v>90.801878461162303</v>
          </cell>
          <cell r="W12">
            <v>0.47170731707316998</v>
          </cell>
          <cell r="X12">
            <v>1.0096110790502801E-2</v>
          </cell>
          <cell r="AB12">
            <v>492.76952016130099</v>
          </cell>
          <cell r="AC12"/>
          <cell r="AE12">
            <v>0.50338709677419302</v>
          </cell>
          <cell r="AF12">
            <v>1.0665254569825901E-2</v>
          </cell>
          <cell r="AK12">
            <v>4</v>
          </cell>
          <cell r="AL12">
            <v>74.059190061545905</v>
          </cell>
          <cell r="AM12">
            <v>666.993424683802</v>
          </cell>
          <cell r="AO12">
            <v>0.51620588235294096</v>
          </cell>
          <cell r="AP12">
            <v>8.5482946936614908E-3</v>
          </cell>
        </row>
        <row r="13">
          <cell r="J13">
            <v>61.295566723123898</v>
          </cell>
          <cell r="K13">
            <v>72.9877004699389</v>
          </cell>
          <cell r="M13">
            <v>0.49584444444444398</v>
          </cell>
          <cell r="N13">
            <v>1.24775832232592E-2</v>
          </cell>
          <cell r="S13">
            <v>2</v>
          </cell>
          <cell r="T13">
            <v>689.14705735907103</v>
          </cell>
          <cell r="U13">
            <v>707.90300653879603</v>
          </cell>
          <cell r="W13">
            <v>0.458057142857142</v>
          </cell>
          <cell r="X13">
            <v>1.8095388556710699E-2</v>
          </cell>
          <cell r="AB13">
            <v>326.023414352119</v>
          </cell>
          <cell r="AC13">
            <v>457.16679332938998</v>
          </cell>
          <cell r="AE13">
            <v>0.44912195121951098</v>
          </cell>
          <cell r="AF13">
            <v>1.88437319608806E-2</v>
          </cell>
          <cell r="AK13">
            <v>6</v>
          </cell>
          <cell r="AL13">
            <v>203.66636833449499</v>
          </cell>
          <cell r="AM13">
            <v>186.71045469691899</v>
          </cell>
          <cell r="AO13">
            <v>0.49046875000000001</v>
          </cell>
          <cell r="AP13">
            <v>2.0955461821739501E-2</v>
          </cell>
        </row>
        <row r="14">
          <cell r="J14">
            <v>0</v>
          </cell>
          <cell r="M14">
            <v>0.521717231222384</v>
          </cell>
          <cell r="N14">
            <v>1.3284753067146399E-2</v>
          </cell>
          <cell r="S14">
            <v>7</v>
          </cell>
          <cell r="T14">
            <v>511.82887765345902</v>
          </cell>
          <cell r="U14">
            <v>518.03571305461196</v>
          </cell>
          <cell r="W14">
            <v>0.52585294117647097</v>
          </cell>
          <cell r="X14">
            <v>1.1391559279809E-2</v>
          </cell>
          <cell r="AB14">
            <v>85.756045727878501</v>
          </cell>
          <cell r="AC14">
            <v>28.221396226426201</v>
          </cell>
          <cell r="AE14">
            <v>0.50711111111111196</v>
          </cell>
          <cell r="AF14">
            <v>1.0636856321654099E-2</v>
          </cell>
          <cell r="AK14">
            <v>6</v>
          </cell>
          <cell r="AL14">
            <v>75.138956388508106</v>
          </cell>
          <cell r="AM14">
            <v>30.1593650726828</v>
          </cell>
          <cell r="AO14">
            <v>0.49331428571428498</v>
          </cell>
          <cell r="AP14">
            <v>1.0583042517836899E-2</v>
          </cell>
        </row>
        <row r="15">
          <cell r="J15">
            <v>139.05736856805399</v>
          </cell>
          <cell r="K15">
            <v>126.471705130364</v>
          </cell>
          <cell r="M15">
            <v>0.56147826086956498</v>
          </cell>
          <cell r="N15">
            <v>3.3144228302081698E-2</v>
          </cell>
          <cell r="S15">
            <v>7</v>
          </cell>
          <cell r="T15">
            <v>87.299527091162105</v>
          </cell>
          <cell r="U15">
            <v>85.870618711493506</v>
          </cell>
          <cell r="W15">
            <v>0.51671794871794896</v>
          </cell>
          <cell r="X15">
            <v>1.1729011367256501E-2</v>
          </cell>
          <cell r="AB15">
            <v>138.81867730366</v>
          </cell>
          <cell r="AC15">
            <v>125.784507516977</v>
          </cell>
          <cell r="AE15">
            <v>0.51406818181818104</v>
          </cell>
          <cell r="AF15">
            <v>1.1730482957519901E-2</v>
          </cell>
          <cell r="AK15">
            <v>5</v>
          </cell>
          <cell r="AL15">
            <v>126.08696865307699</v>
          </cell>
          <cell r="AM15">
            <v>143.17362544442599</v>
          </cell>
          <cell r="AO15">
            <v>0.50900000000000001</v>
          </cell>
          <cell r="AP15">
            <v>1.12260171441547E-2</v>
          </cell>
        </row>
        <row r="16">
          <cell r="J16">
            <v>54.111697304813298</v>
          </cell>
          <cell r="K16">
            <v>44.052890289482903</v>
          </cell>
          <cell r="M16">
            <v>0.50638202247191</v>
          </cell>
          <cell r="N16">
            <v>1.1863365929446699E-2</v>
          </cell>
          <cell r="S16">
            <v>7</v>
          </cell>
          <cell r="T16">
            <v>95.051162035270707</v>
          </cell>
          <cell r="U16">
            <v>43.312488166874402</v>
          </cell>
          <cell r="W16">
            <v>0.51113580246913504</v>
          </cell>
          <cell r="X16">
            <v>1.48370044577664E-2</v>
          </cell>
          <cell r="AB16">
            <v>93.426124508837006</v>
          </cell>
          <cell r="AC16">
            <v>64.015970229657697</v>
          </cell>
          <cell r="AE16">
            <v>0.56526436781609202</v>
          </cell>
          <cell r="AF16">
            <v>1.191708165062E-2</v>
          </cell>
          <cell r="AK16">
            <v>7</v>
          </cell>
          <cell r="AL16">
            <v>80.137477528784501</v>
          </cell>
          <cell r="AM16">
            <v>43.059221448188801</v>
          </cell>
          <cell r="AO16">
            <v>0.46041860465116302</v>
          </cell>
          <cell r="AP16">
            <v>1.4041934011653399E-2</v>
          </cell>
        </row>
        <row r="17">
          <cell r="J17">
            <v>54.990586483232597</v>
          </cell>
          <cell r="K17">
            <v>49.808920600917801</v>
          </cell>
          <cell r="M17">
            <v>0.46890140845070299</v>
          </cell>
          <cell r="N17">
            <v>1.4058966704999801E-2</v>
          </cell>
          <cell r="S17">
            <v>5</v>
          </cell>
          <cell r="T17">
            <v>42.192934653135801</v>
          </cell>
          <cell r="U17">
            <v>57.011003722568702</v>
          </cell>
          <cell r="W17">
            <v>0.51497222222222205</v>
          </cell>
          <cell r="X17">
            <v>1.27051238524364E-2</v>
          </cell>
          <cell r="AB17">
            <v>47.291928341276297</v>
          </cell>
          <cell r="AC17">
            <v>20.7220795325339</v>
          </cell>
          <cell r="AE17">
            <v>0.48272727272727201</v>
          </cell>
          <cell r="AF17">
            <v>1.17975607146657E-2</v>
          </cell>
          <cell r="AK17">
            <v>4</v>
          </cell>
          <cell r="AL17">
            <v>44.834506482241203</v>
          </cell>
          <cell r="AM17">
            <v>40.037104003283297</v>
          </cell>
          <cell r="AO17">
            <v>0.47146341463414598</v>
          </cell>
          <cell r="AP17">
            <v>1.51423527084195E-2</v>
          </cell>
        </row>
        <row r="18">
          <cell r="J18">
            <v>378.97016153430002</v>
          </cell>
          <cell r="K18">
            <v>650.32504693166004</v>
          </cell>
          <cell r="M18">
            <v>0.541568181818182</v>
          </cell>
          <cell r="N18">
            <v>1.0456088395168201E-2</v>
          </cell>
          <cell r="S18">
            <v>6</v>
          </cell>
          <cell r="T18">
            <v>437.41834718895302</v>
          </cell>
          <cell r="U18">
            <v>486.81413290905903</v>
          </cell>
          <cell r="W18">
            <v>0.48235616438356099</v>
          </cell>
          <cell r="X18">
            <v>1.0142489543467101E-2</v>
          </cell>
          <cell r="AB18">
            <v>327.19992432179998</v>
          </cell>
          <cell r="AC18">
            <v>450.91063416158403</v>
          </cell>
          <cell r="AE18">
            <v>0.51429213483145897</v>
          </cell>
          <cell r="AF18">
            <v>9.0628286913270201E-3</v>
          </cell>
          <cell r="AK18">
            <v>5</v>
          </cell>
          <cell r="AL18">
            <v>389.61618642873702</v>
          </cell>
          <cell r="AM18">
            <v>570.52201973280398</v>
          </cell>
          <cell r="AO18">
            <v>0.46470454545454498</v>
          </cell>
          <cell r="AP18">
            <v>9.4323481788701896E-3</v>
          </cell>
        </row>
        <row r="19">
          <cell r="J19">
            <v>0</v>
          </cell>
          <cell r="M19">
            <v>0.60018867924528296</v>
          </cell>
          <cell r="N19">
            <v>1.01921697631482E-2</v>
          </cell>
          <cell r="S19">
            <v>2</v>
          </cell>
          <cell r="T19">
            <v>618.83762005876804</v>
          </cell>
          <cell r="U19">
            <v>1015.71912127976</v>
          </cell>
          <cell r="W19">
            <v>0.53459999999999996</v>
          </cell>
          <cell r="X19">
            <v>1.06734753688666E-2</v>
          </cell>
          <cell r="AB19">
            <v>346.63916714421799</v>
          </cell>
          <cell r="AC19">
            <v>455.04570385027699</v>
          </cell>
          <cell r="AE19">
            <v>0.51898876404494498</v>
          </cell>
          <cell r="AF19">
            <v>1.04231477882021E-2</v>
          </cell>
          <cell r="AK19">
            <v>7</v>
          </cell>
          <cell r="AL19">
            <v>182.60522533975501</v>
          </cell>
          <cell r="AM19">
            <v>255.179701920253</v>
          </cell>
          <cell r="AO19">
            <v>0.58011904761904698</v>
          </cell>
          <cell r="AP19">
            <v>1.05298215435793E-2</v>
          </cell>
        </row>
        <row r="20">
          <cell r="J20">
            <v>408.92773158001</v>
          </cell>
          <cell r="K20">
            <v>541.20542342518002</v>
          </cell>
          <cell r="M20">
            <v>0.4810625</v>
          </cell>
          <cell r="N20">
            <v>1.77049215958008E-2</v>
          </cell>
          <cell r="S20">
            <v>6</v>
          </cell>
          <cell r="T20">
            <v>72.812415058733507</v>
          </cell>
          <cell r="U20">
            <v>55.721635495126002</v>
          </cell>
          <cell r="W20">
            <v>0.505922077922077</v>
          </cell>
          <cell r="X20">
            <v>1.27942812323819E-2</v>
          </cell>
          <cell r="AB20">
            <v>118.29954986231699</v>
          </cell>
          <cell r="AC20">
            <v>125.361634457834</v>
          </cell>
          <cell r="AE20">
            <v>0.54312941176470597</v>
          </cell>
          <cell r="AF20">
            <v>1.47398481293679E-2</v>
          </cell>
          <cell r="AK20">
            <v>3</v>
          </cell>
          <cell r="AL20">
            <v>605.39838123338302</v>
          </cell>
          <cell r="AM20">
            <v>569.70694220800897</v>
          </cell>
          <cell r="AO20">
            <v>0.5302</v>
          </cell>
          <cell r="AP20">
            <v>1.95442334159712E-2</v>
          </cell>
        </row>
        <row r="21">
          <cell r="J21">
            <v>69.633047407908407</v>
          </cell>
          <cell r="M21">
            <v>0.51718644067796604</v>
          </cell>
          <cell r="N21">
            <v>2.5446170919000401E-2</v>
          </cell>
          <cell r="S21">
            <v>6</v>
          </cell>
          <cell r="T21">
            <v>31.7489646737037</v>
          </cell>
          <cell r="U21">
            <v>17.894133116751199</v>
          </cell>
          <cell r="W21">
            <v>0.46807142857142903</v>
          </cell>
          <cell r="X21">
            <v>2.01913755551692E-2</v>
          </cell>
          <cell r="AB21">
            <v>81.456077654036903</v>
          </cell>
          <cell r="AC21">
            <v>76.091163537819796</v>
          </cell>
          <cell r="AE21">
            <v>0.42466666666666703</v>
          </cell>
          <cell r="AF21">
            <v>2.0340098445777301E-2</v>
          </cell>
          <cell r="AK21">
            <v>7</v>
          </cell>
          <cell r="AL21">
            <v>89.689894533626699</v>
          </cell>
          <cell r="AM21">
            <v>104.486159733036</v>
          </cell>
          <cell r="AO21">
            <v>0.45976744186046498</v>
          </cell>
          <cell r="AP21">
            <v>3.5880087504660499E-2</v>
          </cell>
        </row>
        <row r="22">
          <cell r="J22">
            <v>421.91489854807497</v>
          </cell>
          <cell r="K22">
            <v>610.71067111155401</v>
          </cell>
          <cell r="M22">
            <v>0.48121212121212098</v>
          </cell>
          <cell r="N22">
            <v>1.3535781478064101E-2</v>
          </cell>
          <cell r="S22">
            <v>8</v>
          </cell>
          <cell r="T22">
            <v>111.94031266107601</v>
          </cell>
          <cell r="U22">
            <v>118.16958977694701</v>
          </cell>
          <cell r="W22">
            <v>0.50635443037974803</v>
          </cell>
          <cell r="X22">
            <v>1.2567983475632601E-2</v>
          </cell>
          <cell r="AB22">
            <v>86.481866888340605</v>
          </cell>
          <cell r="AC22">
            <v>72.505410024071594</v>
          </cell>
          <cell r="AE22">
            <v>0.46444943820224599</v>
          </cell>
          <cell r="AF22">
            <v>1.1660737803181999E-2</v>
          </cell>
          <cell r="AK22">
            <v>7</v>
          </cell>
          <cell r="AL22">
            <v>352.49217867265202</v>
          </cell>
          <cell r="AM22">
            <v>443.79512526338902</v>
          </cell>
          <cell r="AO22">
            <v>0.63104109589041002</v>
          </cell>
          <cell r="AP22">
            <v>1.46680645379708E-2</v>
          </cell>
        </row>
        <row r="23">
          <cell r="J23">
            <v>93.682252093577105</v>
          </cell>
          <cell r="K23">
            <v>113.882621737218</v>
          </cell>
          <cell r="M23">
            <v>0.50143478260869601</v>
          </cell>
          <cell r="N23">
            <v>1.3657036306196401E-2</v>
          </cell>
          <cell r="S23">
            <v>8</v>
          </cell>
          <cell r="T23">
            <v>47.799229886934597</v>
          </cell>
          <cell r="U23">
            <v>47.041805948001098</v>
          </cell>
          <cell r="W23">
            <v>0.47004938271604901</v>
          </cell>
          <cell r="X23">
            <v>1.5552233339484901E-2</v>
          </cell>
          <cell r="AB23">
            <v>74.454789925120096</v>
          </cell>
          <cell r="AC23">
            <v>72.628187768500496</v>
          </cell>
          <cell r="AE23">
            <v>0.45931034482758598</v>
          </cell>
          <cell r="AF23">
            <v>1.42763090817409E-2</v>
          </cell>
          <cell r="AK23">
            <v>4</v>
          </cell>
          <cell r="AL23">
            <v>321.02036092925198</v>
          </cell>
          <cell r="AM23">
            <v>481.04067742066599</v>
          </cell>
          <cell r="AO23">
            <v>0.53317073170731699</v>
          </cell>
          <cell r="AP23">
            <v>1.5493463525786601E-2</v>
          </cell>
        </row>
        <row r="24">
          <cell r="J24">
            <v>27.907432239343699</v>
          </cell>
          <cell r="K24">
            <v>14.9072400682228</v>
          </cell>
          <cell r="M24">
            <v>0.48117142857142903</v>
          </cell>
          <cell r="N24">
            <v>1.85845379276088E-2</v>
          </cell>
          <cell r="S24">
            <v>7</v>
          </cell>
          <cell r="T24">
            <v>31.867768530114802</v>
          </cell>
          <cell r="U24">
            <v>20.401199847652101</v>
          </cell>
          <cell r="W24">
            <v>0.51356410256410301</v>
          </cell>
          <cell r="X24">
            <v>1.7272414526535902E-2</v>
          </cell>
          <cell r="AB24">
            <v>49.834607890495803</v>
          </cell>
          <cell r="AC24">
            <v>59.166626193932203</v>
          </cell>
          <cell r="AE24">
            <v>0.50910588235294096</v>
          </cell>
          <cell r="AF24">
            <v>1.5305188786885001E-2</v>
          </cell>
          <cell r="AK24">
            <v>5</v>
          </cell>
          <cell r="AL24">
            <v>35.348119289187402</v>
          </cell>
          <cell r="AM24">
            <v>26.0198862941131</v>
          </cell>
          <cell r="AO24">
            <v>0.51797101449275296</v>
          </cell>
          <cell r="AP24">
            <v>1.6824906176359199E-2</v>
          </cell>
        </row>
        <row r="25">
          <cell r="J25">
            <v>127.396122901654</v>
          </cell>
          <cell r="K25">
            <v>178.73702508974301</v>
          </cell>
          <cell r="M25">
            <v>0.488747252747252</v>
          </cell>
          <cell r="N25">
            <v>1.41877574471679E-2</v>
          </cell>
          <cell r="S25">
            <v>7</v>
          </cell>
          <cell r="T25">
            <v>112.436682905693</v>
          </cell>
          <cell r="U25">
            <v>183.36942173543099</v>
          </cell>
          <cell r="W25">
            <v>0.50431999999999999</v>
          </cell>
          <cell r="X25">
            <v>1.20828028790704E-2</v>
          </cell>
          <cell r="AB25">
            <v>107.533101719275</v>
          </cell>
          <cell r="AC25">
            <v>141.54643739562499</v>
          </cell>
          <cell r="AE25">
            <v>0.429057471264368</v>
          </cell>
          <cell r="AF25">
            <v>1.2072083655262999E-2</v>
          </cell>
          <cell r="AK25">
            <v>6</v>
          </cell>
          <cell r="AL25">
            <v>0</v>
          </cell>
          <cell r="AO25">
            <v>0.53621874999999997</v>
          </cell>
          <cell r="AP25">
            <v>1.31271912746911E-2</v>
          </cell>
        </row>
        <row r="26">
          <cell r="J26">
            <v>234.89769300953299</v>
          </cell>
          <cell r="K26">
            <v>329.878249623204</v>
          </cell>
          <cell r="M26">
            <v>0.45992</v>
          </cell>
          <cell r="N26">
            <v>2.4013930573590699E-2</v>
          </cell>
          <cell r="S26">
            <v>5</v>
          </cell>
          <cell r="T26">
            <v>177.59512036318</v>
          </cell>
          <cell r="U26">
            <v>254.143026593494</v>
          </cell>
          <cell r="W26">
            <v>0.45070588235294101</v>
          </cell>
          <cell r="X26">
            <v>2.01500592548584E-2</v>
          </cell>
          <cell r="AB26">
            <v>111.595141799673</v>
          </cell>
          <cell r="AC26">
            <v>141.47018531596399</v>
          </cell>
          <cell r="AE26">
            <v>0.48382417582417497</v>
          </cell>
          <cell r="AF26">
            <v>1.3685099197315099E-2</v>
          </cell>
          <cell r="AK26">
            <v>6</v>
          </cell>
          <cell r="AL26">
            <v>94.686906467632696</v>
          </cell>
          <cell r="AM26">
            <v>103.68856170985001</v>
          </cell>
          <cell r="AO26">
            <v>0.50827397260273999</v>
          </cell>
          <cell r="AP26">
            <v>1.3815791879503001E-2</v>
          </cell>
        </row>
      </sheetData>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1 Datalog+Results"/>
      <sheetName val="S2 Datalog + Results"/>
      <sheetName val="S3 Datalog + Results"/>
      <sheetName val="S4 Datalog + Results"/>
      <sheetName val="guodubiaoge"/>
      <sheetName val="Stat"/>
      <sheetName val="Stat for H3&amp;H4"/>
      <sheetName val="S2 Datalog+Results"/>
    </sheetNames>
    <sheetDataSet>
      <sheetData sheetId="0"/>
      <sheetData sheetId="1">
        <row r="2">
          <cell r="J2">
            <v>147.93733188487101</v>
          </cell>
          <cell r="K2">
            <v>200.661290842016</v>
          </cell>
          <cell r="M2">
            <v>0.52933333333333299</v>
          </cell>
          <cell r="N2">
            <v>7.7225964261790903E-3</v>
          </cell>
          <cell r="S2">
            <v>6</v>
          </cell>
          <cell r="T2">
            <v>261.92319242510501</v>
          </cell>
          <cell r="U2">
            <v>370.21375207064</v>
          </cell>
          <cell r="W2">
            <v>0.53574193548387095</v>
          </cell>
          <cell r="X2">
            <v>7.2646996267173997E-3</v>
          </cell>
          <cell r="AB2">
            <v>70.262611382036894</v>
          </cell>
          <cell r="AC2">
            <v>79.126805079261501</v>
          </cell>
          <cell r="AE2">
            <v>0.53780722891566302</v>
          </cell>
          <cell r="AF2">
            <v>7.4955537629562002E-3</v>
          </cell>
          <cell r="AK2">
            <v>7</v>
          </cell>
          <cell r="AL2">
            <v>82.991171766609497</v>
          </cell>
          <cell r="AM2">
            <v>96.205885095683101</v>
          </cell>
          <cell r="AO2">
            <v>0.56107317073170704</v>
          </cell>
          <cell r="AP2">
            <v>9.3612008673773905E-3</v>
          </cell>
        </row>
        <row r="3">
          <cell r="J3">
            <v>134.581178900639</v>
          </cell>
          <cell r="K3">
            <v>127.462370917852</v>
          </cell>
          <cell r="M3">
            <v>0.53027272727272701</v>
          </cell>
          <cell r="N3">
            <v>7.1368789091344398E-3</v>
          </cell>
          <cell r="S3">
            <v>7</v>
          </cell>
          <cell r="T3">
            <v>184.71309191141799</v>
          </cell>
          <cell r="U3">
            <v>164.88886983037801</v>
          </cell>
          <cell r="W3">
            <v>0.46882539682539598</v>
          </cell>
          <cell r="X3">
            <v>7.05724127228235E-3</v>
          </cell>
          <cell r="AB3">
            <v>111.599941738892</v>
          </cell>
          <cell r="AC3">
            <v>88.562301517067795</v>
          </cell>
          <cell r="AE3">
            <v>0.45488372093023199</v>
          </cell>
          <cell r="AF3">
            <v>7.6806238278214096E-3</v>
          </cell>
          <cell r="AK3">
            <v>6</v>
          </cell>
          <cell r="AL3">
            <v>124.95847308375799</v>
          </cell>
          <cell r="AM3">
            <v>54.753798905861998</v>
          </cell>
          <cell r="AO3">
            <v>0.52868493150685003</v>
          </cell>
          <cell r="AP3">
            <v>8.0011158445494907E-3</v>
          </cell>
        </row>
        <row r="4">
          <cell r="J4">
            <v>399.31764664673602</v>
          </cell>
          <cell r="K4">
            <v>534.79630028876397</v>
          </cell>
          <cell r="M4">
            <v>0.50651612903225796</v>
          </cell>
          <cell r="N4">
            <v>6.5484379306223603E-3</v>
          </cell>
          <cell r="S4">
            <v>7</v>
          </cell>
          <cell r="T4">
            <v>291.00160506831202</v>
          </cell>
          <cell r="U4">
            <v>434.48807913346798</v>
          </cell>
          <cell r="W4">
            <v>0.47738028169014002</v>
          </cell>
          <cell r="X4">
            <v>7.4712633318897697E-3</v>
          </cell>
          <cell r="AB4">
            <v>217.84453781502</v>
          </cell>
          <cell r="AC4">
            <v>274.00254087337203</v>
          </cell>
          <cell r="AE4">
            <v>0.59175</v>
          </cell>
          <cell r="AF4">
            <v>8.3586692886922498E-3</v>
          </cell>
          <cell r="AK4">
            <v>0</v>
          </cell>
          <cell r="AL4">
            <v>0</v>
          </cell>
          <cell r="AO4">
            <v>0</v>
          </cell>
          <cell r="AP4">
            <v>0</v>
          </cell>
        </row>
        <row r="5">
          <cell r="J5">
            <v>101.33020152062601</v>
          </cell>
          <cell r="K5">
            <v>121.038000358831</v>
          </cell>
          <cell r="M5">
            <v>0.53645569620253097</v>
          </cell>
          <cell r="N5">
            <v>1.88174361433231E-2</v>
          </cell>
          <cell r="S5">
            <v>8</v>
          </cell>
          <cell r="T5">
            <v>104.317897788276</v>
          </cell>
          <cell r="U5">
            <v>120.97006281539601</v>
          </cell>
          <cell r="W5">
            <v>0.55488607594936701</v>
          </cell>
          <cell r="X5">
            <v>1.6915622385653899E-2</v>
          </cell>
          <cell r="AB5">
            <v>167.201324310449</v>
          </cell>
          <cell r="AC5">
            <v>243.465977334012</v>
          </cell>
          <cell r="AE5">
            <v>0.50968831168831097</v>
          </cell>
          <cell r="AF5">
            <v>1.6865478773652302E-2</v>
          </cell>
          <cell r="AK5">
            <v>6</v>
          </cell>
          <cell r="AO5">
            <v>0.54287096774193599</v>
          </cell>
          <cell r="AP5">
            <v>1.7381734223095101E-2</v>
          </cell>
        </row>
        <row r="6">
          <cell r="J6">
            <v>28.9726536700162</v>
          </cell>
          <cell r="K6">
            <v>10.339273900777799</v>
          </cell>
          <cell r="M6">
            <v>0.479333333333333</v>
          </cell>
          <cell r="N6">
            <v>6.0679202121521596E-3</v>
          </cell>
          <cell r="S6">
            <v>5</v>
          </cell>
          <cell r="T6">
            <v>308.20479607950301</v>
          </cell>
          <cell r="U6">
            <v>407.622858855743</v>
          </cell>
          <cell r="W6">
            <v>0.50922033898305097</v>
          </cell>
          <cell r="X6">
            <v>6.9447328736871603E-3</v>
          </cell>
          <cell r="AB6">
            <v>33.550792896863399</v>
          </cell>
          <cell r="AC6">
            <v>12.6297581673954</v>
          </cell>
          <cell r="AE6">
            <v>0.52852631578947395</v>
          </cell>
          <cell r="AF6">
            <v>6.3436716915834497E-3</v>
          </cell>
          <cell r="AK6">
            <v>4</v>
          </cell>
          <cell r="AL6">
            <v>21.1505187748302</v>
          </cell>
          <cell r="AM6">
            <v>16.472704695950899</v>
          </cell>
          <cell r="AO6">
            <v>0.51292682926829303</v>
          </cell>
          <cell r="AP6">
            <v>7.2101970514922798E-3</v>
          </cell>
        </row>
        <row r="7">
          <cell r="J7">
            <v>92.388384921166605</v>
          </cell>
          <cell r="K7">
            <v>88.920155026007194</v>
          </cell>
          <cell r="M7">
            <v>0.52951879699248094</v>
          </cell>
          <cell r="N7">
            <v>4.1355700990228098E-3</v>
          </cell>
          <cell r="S7">
            <v>6</v>
          </cell>
          <cell r="T7">
            <v>92.642335556855201</v>
          </cell>
          <cell r="U7">
            <v>96.457979680128005</v>
          </cell>
          <cell r="W7">
            <v>0.48513636363636298</v>
          </cell>
          <cell r="X7">
            <v>6.3648068151145598E-3</v>
          </cell>
          <cell r="AB7">
            <v>91.290240063376203</v>
          </cell>
          <cell r="AC7">
            <v>98.667714220292694</v>
          </cell>
          <cell r="AE7">
            <v>0.55055555555555602</v>
          </cell>
          <cell r="AF7">
            <v>4.6600175041198099E-3</v>
          </cell>
          <cell r="AK7">
            <v>6</v>
          </cell>
          <cell r="AL7">
            <v>60.928079288380303</v>
          </cell>
          <cell r="AM7">
            <v>48.559549531953799</v>
          </cell>
          <cell r="AO7">
            <v>0.52834146341463395</v>
          </cell>
          <cell r="AP7">
            <v>5.0631017968240802E-3</v>
          </cell>
        </row>
        <row r="8">
          <cell r="J8">
            <v>99.052153360253399</v>
          </cell>
          <cell r="K8">
            <v>120.981477861743</v>
          </cell>
          <cell r="M8">
            <v>0.46715294117647099</v>
          </cell>
          <cell r="N8">
            <v>1.23955312284469E-2</v>
          </cell>
          <cell r="S8">
            <v>6</v>
          </cell>
          <cell r="T8">
            <v>431.99071500624399</v>
          </cell>
          <cell r="U8">
            <v>527.257414317128</v>
          </cell>
          <cell r="W8">
            <v>0.48173134328358203</v>
          </cell>
          <cell r="X8">
            <v>1.21760458706994E-2</v>
          </cell>
          <cell r="AB8">
            <v>71.663275017125798</v>
          </cell>
          <cell r="AC8">
            <v>64.331696419254101</v>
          </cell>
          <cell r="AE8">
            <v>0.54731818181818104</v>
          </cell>
          <cell r="AF8">
            <v>9.3997229256550293E-3</v>
          </cell>
          <cell r="AK8">
            <v>6</v>
          </cell>
          <cell r="AL8">
            <v>607.42308155024796</v>
          </cell>
          <cell r="AM8">
            <v>626.86601439223</v>
          </cell>
          <cell r="AO8">
            <v>0.54501492537313401</v>
          </cell>
          <cell r="AP8">
            <v>1.04430287171289E-2</v>
          </cell>
        </row>
        <row r="9">
          <cell r="J9">
            <v>60.0247118921517</v>
          </cell>
          <cell r="K9">
            <v>56.994096571707502</v>
          </cell>
          <cell r="M9">
            <v>0.53404545454545505</v>
          </cell>
          <cell r="N9">
            <v>1.10094622184759E-2</v>
          </cell>
          <cell r="S9">
            <v>6</v>
          </cell>
          <cell r="T9">
            <v>46.133338311342101</v>
          </cell>
          <cell r="U9">
            <v>51.555240831004497</v>
          </cell>
          <cell r="W9">
            <v>0.53176315789473705</v>
          </cell>
          <cell r="X9">
            <v>1.1441449110906899E-2</v>
          </cell>
          <cell r="AB9">
            <v>61.7860228402998</v>
          </cell>
          <cell r="AC9">
            <v>55.697192166120502</v>
          </cell>
          <cell r="AE9">
            <v>0.52861363636363701</v>
          </cell>
          <cell r="AF9">
            <v>1.38250082827429E-2</v>
          </cell>
          <cell r="AK9">
            <v>6</v>
          </cell>
          <cell r="AL9">
            <v>43.848125158375801</v>
          </cell>
          <cell r="AM9">
            <v>47.499000397478703</v>
          </cell>
          <cell r="AO9">
            <v>0.49494444444444502</v>
          </cell>
          <cell r="AP9">
            <v>1.1527181996271601E-2</v>
          </cell>
        </row>
        <row r="10">
          <cell r="J10">
            <v>103.227834773208</v>
          </cell>
          <cell r="K10">
            <v>109.5071382757</v>
          </cell>
          <cell r="M10">
            <v>0.52186516853932596</v>
          </cell>
          <cell r="N10">
            <v>9.8882715906544304E-3</v>
          </cell>
          <cell r="S10">
            <v>8</v>
          </cell>
          <cell r="T10">
            <v>97.856015642196695</v>
          </cell>
          <cell r="U10">
            <v>123.17687630859599</v>
          </cell>
          <cell r="W10">
            <v>0.483139240506329</v>
          </cell>
          <cell r="X10">
            <v>1.0533448810325899E-2</v>
          </cell>
          <cell r="AB10">
            <v>60.550792820294397</v>
          </cell>
          <cell r="AC10">
            <v>59.023450779630203</v>
          </cell>
          <cell r="AE10">
            <v>0.52528089887640395</v>
          </cell>
          <cell r="AF10">
            <v>1.1028601945180599E-2</v>
          </cell>
          <cell r="AK10">
            <v>8</v>
          </cell>
          <cell r="AL10">
            <v>119.263462873428</v>
          </cell>
          <cell r="AM10">
            <v>164.56328456513501</v>
          </cell>
          <cell r="AO10">
            <v>0.52336842105263304</v>
          </cell>
          <cell r="AP10">
            <v>9.8985186947067403E-3</v>
          </cell>
        </row>
        <row r="11">
          <cell r="J11">
            <v>88.930776958866801</v>
          </cell>
          <cell r="K11">
            <v>100.684590015884</v>
          </cell>
          <cell r="M11">
            <v>0.52744827586206999</v>
          </cell>
          <cell r="N11">
            <v>6.1750053014027299E-3</v>
          </cell>
          <cell r="S11">
            <v>7</v>
          </cell>
          <cell r="T11">
            <v>88.221115705243406</v>
          </cell>
          <cell r="U11">
            <v>116.386040942699</v>
          </cell>
          <cell r="W11">
            <v>0.52101204819277103</v>
          </cell>
          <cell r="X11">
            <v>5.9030899319982696E-3</v>
          </cell>
          <cell r="AB11">
            <v>113.45976223780301</v>
          </cell>
          <cell r="AC11">
            <v>143.294507185284</v>
          </cell>
          <cell r="AE11">
            <v>0.45981818181818201</v>
          </cell>
          <cell r="AF11">
            <v>6.1134167401941698E-3</v>
          </cell>
          <cell r="AK11">
            <v>6</v>
          </cell>
          <cell r="AL11">
            <v>47.707183101286503</v>
          </cell>
          <cell r="AM11">
            <v>39.601958935325499</v>
          </cell>
          <cell r="AO11">
            <v>0.53463636363636402</v>
          </cell>
          <cell r="AP11">
            <v>6.7768041617073298E-3</v>
          </cell>
        </row>
        <row r="12">
          <cell r="J12">
            <v>55.385650158123298</v>
          </cell>
          <cell r="K12">
            <v>51.624600872109603</v>
          </cell>
          <cell r="M12">
            <v>0.48762352941176501</v>
          </cell>
          <cell r="N12">
            <v>1.1168920495111499E-2</v>
          </cell>
          <cell r="S12">
            <v>5</v>
          </cell>
          <cell r="T12">
            <v>47.123286012816301</v>
          </cell>
          <cell r="U12">
            <v>29.491223838027</v>
          </cell>
          <cell r="W12">
            <v>0.49091803278688501</v>
          </cell>
          <cell r="X12">
            <v>9.53327486469434E-3</v>
          </cell>
          <cell r="AB12">
            <v>97.215536628635107</v>
          </cell>
          <cell r="AC12">
            <v>96.376191927106404</v>
          </cell>
          <cell r="AE12">
            <v>0.48427272727272702</v>
          </cell>
          <cell r="AF12">
            <v>8.7875042064455705E-3</v>
          </cell>
          <cell r="AK12">
            <v>4</v>
          </cell>
          <cell r="AL12">
            <v>53.571086201009699</v>
          </cell>
          <cell r="AM12">
            <v>29.664415181996599</v>
          </cell>
          <cell r="AO12">
            <v>0.52518181818181897</v>
          </cell>
          <cell r="AP12">
            <v>1.00592948261417E-2</v>
          </cell>
        </row>
        <row r="13">
          <cell r="J13">
            <v>146.35930526886699</v>
          </cell>
          <cell r="K13">
            <v>203.30755699904401</v>
          </cell>
          <cell r="M13">
            <v>0.519701149425287</v>
          </cell>
          <cell r="N13">
            <v>1.5783228161033499E-2</v>
          </cell>
          <cell r="S13">
            <v>7</v>
          </cell>
          <cell r="T13">
            <v>80.097684613599796</v>
          </cell>
          <cell r="U13">
            <v>105.094534163823</v>
          </cell>
          <cell r="W13">
            <v>0.51005797101449302</v>
          </cell>
          <cell r="X13">
            <v>1.96262708347818E-2</v>
          </cell>
          <cell r="AB13">
            <v>71.162070612599706</v>
          </cell>
          <cell r="AC13">
            <v>73.485700297052404</v>
          </cell>
          <cell r="AE13">
            <v>0.51173809523809499</v>
          </cell>
          <cell r="AF13">
            <v>1.60062175244454E-2</v>
          </cell>
          <cell r="AK13">
            <v>7</v>
          </cell>
          <cell r="AL13">
            <v>70.145730683756895</v>
          </cell>
          <cell r="AM13">
            <v>89.909236934120898</v>
          </cell>
          <cell r="AO13">
            <v>0.41865714285714301</v>
          </cell>
          <cell r="AP13">
            <v>1.93599159190034E-2</v>
          </cell>
        </row>
        <row r="14">
          <cell r="J14">
            <v>74.766574555470996</v>
          </cell>
          <cell r="K14">
            <v>71.705714859892495</v>
          </cell>
          <cell r="M14">
            <v>0.51112781954887099</v>
          </cell>
          <cell r="N14">
            <v>1.03517617162096E-2</v>
          </cell>
          <cell r="S14">
            <v>7</v>
          </cell>
          <cell r="T14">
            <v>59.862994001119702</v>
          </cell>
          <cell r="U14">
            <v>45.457672619703303</v>
          </cell>
          <cell r="W14">
            <v>0.44438095238095299</v>
          </cell>
          <cell r="X14">
            <v>1.10037798305144E-2</v>
          </cell>
          <cell r="AB14">
            <v>57.845126809889003</v>
          </cell>
          <cell r="AC14">
            <v>50.144291798767398</v>
          </cell>
          <cell r="AE14">
            <v>0.516636363636364</v>
          </cell>
          <cell r="AF14">
            <v>1.08631129785146E-2</v>
          </cell>
          <cell r="AK14">
            <v>6</v>
          </cell>
          <cell r="AL14">
            <v>58.572686937199101</v>
          </cell>
          <cell r="AM14">
            <v>43.746383070444303</v>
          </cell>
          <cell r="AO14">
            <v>0.53374647887324</v>
          </cell>
          <cell r="AP14">
            <v>1.22223487194728E-2</v>
          </cell>
        </row>
        <row r="15">
          <cell r="J15">
            <v>68.0585510505489</v>
          </cell>
          <cell r="K15">
            <v>59.083809556630598</v>
          </cell>
          <cell r="M15">
            <v>0.47971111111110998</v>
          </cell>
          <cell r="N15">
            <v>9.3325707198321992E-3</v>
          </cell>
          <cell r="S15">
            <v>6</v>
          </cell>
          <cell r="T15">
            <v>69.452584786312698</v>
          </cell>
          <cell r="U15">
            <v>62.4040665014994</v>
          </cell>
          <cell r="W15">
            <v>0.566906666666667</v>
          </cell>
          <cell r="X15">
            <v>1.28321814381462E-2</v>
          </cell>
          <cell r="AB15">
            <v>122.069310443904</v>
          </cell>
          <cell r="AC15">
            <v>148.59163396440201</v>
          </cell>
          <cell r="AE15">
            <v>0.538229508196721</v>
          </cell>
          <cell r="AF15">
            <v>1.2294254210919999E-2</v>
          </cell>
          <cell r="AK15">
            <v>7</v>
          </cell>
          <cell r="AL15">
            <v>109.35473909375899</v>
          </cell>
          <cell r="AM15">
            <v>95.627816273734197</v>
          </cell>
          <cell r="AO15">
            <v>0.48893827160493902</v>
          </cell>
          <cell r="AP15">
            <v>1.08545884453084E-2</v>
          </cell>
        </row>
        <row r="16">
          <cell r="J16">
            <v>88.774174120454802</v>
          </cell>
          <cell r="K16">
            <v>76.664091846987205</v>
          </cell>
          <cell r="M16">
            <v>0.58959090909090694</v>
          </cell>
          <cell r="N16">
            <v>5.0355385925057297E-2</v>
          </cell>
          <cell r="S16">
            <v>7</v>
          </cell>
          <cell r="T16">
            <v>76.771694784827005</v>
          </cell>
          <cell r="U16">
            <v>89.179767480270101</v>
          </cell>
          <cell r="W16">
            <v>0.49036619718309798</v>
          </cell>
          <cell r="X16">
            <v>1.5636829102102401E-2</v>
          </cell>
          <cell r="AB16">
            <v>91.551106139714193</v>
          </cell>
          <cell r="AC16">
            <v>90.137023063940703</v>
          </cell>
          <cell r="AE16">
            <v>0.543767441860465</v>
          </cell>
          <cell r="AF16">
            <v>1.37276860369707E-2</v>
          </cell>
          <cell r="AK16">
            <v>6</v>
          </cell>
          <cell r="AL16">
            <v>64.184430997452907</v>
          </cell>
          <cell r="AM16">
            <v>71.951372467798393</v>
          </cell>
          <cell r="AO16">
            <v>0.50770270270270201</v>
          </cell>
          <cell r="AP16">
            <v>1.3618763633309799E-2</v>
          </cell>
        </row>
        <row r="17">
          <cell r="J17">
            <v>34.819506170396203</v>
          </cell>
          <cell r="K17">
            <v>23.4927743734365</v>
          </cell>
          <cell r="M17">
            <v>0.462590909090909</v>
          </cell>
          <cell r="N17">
            <v>9.2851010062627096E-3</v>
          </cell>
          <cell r="S17">
            <v>5</v>
          </cell>
          <cell r="T17">
            <v>26.648298974986599</v>
          </cell>
          <cell r="U17">
            <v>18.959020134079498</v>
          </cell>
          <cell r="W17">
            <v>0.52580821917808196</v>
          </cell>
          <cell r="X17">
            <v>9.07029364563142E-3</v>
          </cell>
          <cell r="AB17">
            <v>58.1042242135604</v>
          </cell>
          <cell r="AC17">
            <v>35.709942593065598</v>
          </cell>
          <cell r="AE17">
            <v>0.53963218390804601</v>
          </cell>
          <cell r="AF17">
            <v>8.2166754466836793E-3</v>
          </cell>
          <cell r="AK17">
            <v>6</v>
          </cell>
          <cell r="AL17">
            <v>270.62397035985799</v>
          </cell>
          <cell r="AM17">
            <v>297.72470505485398</v>
          </cell>
          <cell r="AO17">
            <v>0.49686666666666701</v>
          </cell>
          <cell r="AP17">
            <v>1.01312875184521E-2</v>
          </cell>
        </row>
        <row r="18">
          <cell r="J18">
            <v>469.36823816186097</v>
          </cell>
          <cell r="K18">
            <v>445.31666635478001</v>
          </cell>
          <cell r="M18">
            <v>0.48293181818181802</v>
          </cell>
          <cell r="N18">
            <v>9.6248221360006603E-3</v>
          </cell>
          <cell r="S18">
            <v>7</v>
          </cell>
          <cell r="T18">
            <v>376.95175052282502</v>
          </cell>
          <cell r="U18">
            <v>449.333827892903</v>
          </cell>
          <cell r="W18">
            <v>0.56267500000000004</v>
          </cell>
          <cell r="X18">
            <v>9.3340204016428303E-3</v>
          </cell>
          <cell r="AB18">
            <v>0</v>
          </cell>
          <cell r="AC18"/>
          <cell r="AE18">
            <v>0.499701492537314</v>
          </cell>
          <cell r="AF18">
            <v>9.9057736981009101E-3</v>
          </cell>
          <cell r="AK18">
            <v>6</v>
          </cell>
          <cell r="AL18">
            <v>393.21522961625999</v>
          </cell>
          <cell r="AM18">
            <v>538.54073518796099</v>
          </cell>
          <cell r="AO18">
            <v>0.46817910447761202</v>
          </cell>
          <cell r="AP18">
            <v>7.5204966861524402E-3</v>
          </cell>
        </row>
        <row r="19">
          <cell r="J19">
            <v>293.84702354390799</v>
          </cell>
          <cell r="K19">
            <v>359.21839127691902</v>
          </cell>
          <cell r="M19">
            <v>0.47222222222222199</v>
          </cell>
          <cell r="N19">
            <v>1.01168805438034E-2</v>
          </cell>
          <cell r="S19">
            <v>7</v>
          </cell>
          <cell r="T19">
            <v>186.31000894269499</v>
          </cell>
          <cell r="U19">
            <v>267.00703005419302</v>
          </cell>
          <cell r="W19">
            <v>0.56142465753424697</v>
          </cell>
          <cell r="X19">
            <v>1.16240539977394E-2</v>
          </cell>
          <cell r="AB19">
            <v>338.62939710825202</v>
          </cell>
          <cell r="AC19">
            <v>496.08863565518902</v>
          </cell>
          <cell r="AE19">
            <v>0.44793406593406698</v>
          </cell>
          <cell r="AF19">
            <v>1.11730913807213E-2</v>
          </cell>
          <cell r="AK19">
            <v>7</v>
          </cell>
          <cell r="AL19">
            <v>390.32294321497898</v>
          </cell>
          <cell r="AM19">
            <v>552.00000000000705</v>
          </cell>
          <cell r="AO19">
            <v>0.46841025641025602</v>
          </cell>
          <cell r="AP19">
            <v>1.08571876604382E-2</v>
          </cell>
        </row>
        <row r="20">
          <cell r="J20">
            <v>310.94391398941798</v>
          </cell>
          <cell r="K20">
            <v>393.23434488864098</v>
          </cell>
          <cell r="M20">
            <v>0.50772839506172895</v>
          </cell>
          <cell r="N20">
            <v>1.6199756023227999E-2</v>
          </cell>
          <cell r="S20">
            <v>2</v>
          </cell>
          <cell r="T20">
            <v>424.18752285452098</v>
          </cell>
          <cell r="U20">
            <v>553.24569587119197</v>
          </cell>
          <cell r="W20">
            <v>0.51541176470588201</v>
          </cell>
          <cell r="X20">
            <v>2.4398106352568501E-2</v>
          </cell>
          <cell r="AB20">
            <v>205.116076684896</v>
          </cell>
          <cell r="AC20">
            <v>266.66450882129101</v>
          </cell>
          <cell r="AE20">
            <v>0.48896470588235302</v>
          </cell>
          <cell r="AF20">
            <v>1.71471132236003E-2</v>
          </cell>
          <cell r="AK20">
            <v>5</v>
          </cell>
          <cell r="AL20">
            <v>0</v>
          </cell>
          <cell r="AO20">
            <v>0.55765624999999996</v>
          </cell>
          <cell r="AP20">
            <v>1.5748287440290901E-2</v>
          </cell>
        </row>
        <row r="21">
          <cell r="J21">
            <v>110.939362182446</v>
          </cell>
          <cell r="K21">
            <v>129.70845779542901</v>
          </cell>
          <cell r="M21">
            <v>0.45133333333333397</v>
          </cell>
          <cell r="N21">
            <v>4.5141554025937197E-2</v>
          </cell>
          <cell r="S21">
            <v>7</v>
          </cell>
          <cell r="T21">
            <v>83.718004959919099</v>
          </cell>
          <cell r="U21">
            <v>82.654964383604494</v>
          </cell>
          <cell r="W21">
            <v>0.53173913043478205</v>
          </cell>
          <cell r="X21">
            <v>3.1548861121042202E-2</v>
          </cell>
          <cell r="AB21">
            <v>48.258294329212603</v>
          </cell>
          <cell r="AC21">
            <v>54.491933224257401</v>
          </cell>
          <cell r="AE21">
            <v>0.57329729729729595</v>
          </cell>
          <cell r="AF21">
            <v>3.93318844966472E-2</v>
          </cell>
          <cell r="AK21">
            <v>7</v>
          </cell>
          <cell r="AL21">
            <v>37.417625787614</v>
          </cell>
          <cell r="AM21">
            <v>19.726332784585399</v>
          </cell>
          <cell r="AO21">
            <v>0.49301818181818202</v>
          </cell>
          <cell r="AP21">
            <v>2.1682889683404899E-2</v>
          </cell>
        </row>
        <row r="22">
          <cell r="J22">
            <v>73.777328477237006</v>
          </cell>
          <cell r="K22">
            <v>62.935243384078497</v>
          </cell>
          <cell r="M22">
            <v>0.50618421052631701</v>
          </cell>
          <cell r="N22">
            <v>1.1559676226586799E-2</v>
          </cell>
          <cell r="S22">
            <v>8</v>
          </cell>
          <cell r="T22">
            <v>74.236653978755101</v>
          </cell>
          <cell r="U22">
            <v>27.352593726402699</v>
          </cell>
          <cell r="W22">
            <v>0.522236842105263</v>
          </cell>
          <cell r="X22">
            <v>1.3797876142893101E-2</v>
          </cell>
          <cell r="AB22">
            <v>85.463582544518403</v>
          </cell>
          <cell r="AC22">
            <v>39.707519647599</v>
          </cell>
          <cell r="AE22">
            <v>0.48478160919540297</v>
          </cell>
          <cell r="AF22">
            <v>1.3053031149777799E-2</v>
          </cell>
          <cell r="AK22">
            <v>7</v>
          </cell>
          <cell r="AL22">
            <v>82.453088153396294</v>
          </cell>
          <cell r="AM22">
            <v>28.5953842429156</v>
          </cell>
          <cell r="AO22">
            <v>0.498285714285714</v>
          </cell>
          <cell r="AP22">
            <v>1.3923496731337999E-2</v>
          </cell>
        </row>
        <row r="23">
          <cell r="J23">
            <v>247.15600370505601</v>
          </cell>
          <cell r="K23">
            <v>350.57201156697801</v>
          </cell>
          <cell r="M23">
            <v>0.50679545454545405</v>
          </cell>
          <cell r="N23">
            <v>1.7028917594650101E-2</v>
          </cell>
          <cell r="S23">
            <v>8</v>
          </cell>
          <cell r="T23">
            <v>56.026818691066303</v>
          </cell>
          <cell r="W23">
            <v>0.47642253521126698</v>
          </cell>
          <cell r="X23">
            <v>2.4317554908545098E-2</v>
          </cell>
          <cell r="AB23">
            <v>249.086711975257</v>
          </cell>
          <cell r="AC23">
            <v>303.478609899719</v>
          </cell>
          <cell r="AE23">
            <v>0.49754545454545501</v>
          </cell>
          <cell r="AF23">
            <v>1.22842780614581E-2</v>
          </cell>
          <cell r="AK23">
            <v>7</v>
          </cell>
          <cell r="AL23">
            <v>52.851726408085</v>
          </cell>
          <cell r="AM23">
            <v>63.209103208926798</v>
          </cell>
          <cell r="AO23">
            <v>0.48474698795180698</v>
          </cell>
          <cell r="AP23">
            <v>1.48054224290615E-2</v>
          </cell>
        </row>
        <row r="24">
          <cell r="J24">
            <v>35.590499017421003</v>
          </cell>
          <cell r="K24">
            <v>18.769478770954802</v>
          </cell>
          <cell r="M24">
            <v>0.50055696202531597</v>
          </cell>
          <cell r="N24">
            <v>2.1971678762601698E-2</v>
          </cell>
          <cell r="S24">
            <v>7</v>
          </cell>
          <cell r="T24">
            <v>48.228053629790402</v>
          </cell>
          <cell r="U24">
            <v>20.811089574439499</v>
          </cell>
          <cell r="W24">
            <v>0.44899999999999901</v>
          </cell>
          <cell r="X24">
            <v>1.83881844275036E-2</v>
          </cell>
          <cell r="AB24">
            <v>37.012185880489298</v>
          </cell>
          <cell r="AC24">
            <v>23.806328123867502</v>
          </cell>
          <cell r="AE24">
            <v>0.53680459770114997</v>
          </cell>
          <cell r="AF24">
            <v>1.6767307825061299E-2</v>
          </cell>
          <cell r="AK24">
            <v>7</v>
          </cell>
          <cell r="AL24">
            <v>36.1737119027188</v>
          </cell>
          <cell r="AM24">
            <v>20.558086502272602</v>
          </cell>
          <cell r="AO24">
            <v>0.45157333333333199</v>
          </cell>
          <cell r="AP24">
            <v>1.69793504591912E-2</v>
          </cell>
        </row>
        <row r="25">
          <cell r="J25">
            <v>294.83300295879297</v>
          </cell>
          <cell r="K25">
            <v>409.34943695877001</v>
          </cell>
          <cell r="M25">
            <v>0.498705882352942</v>
          </cell>
          <cell r="N25">
            <v>1.3439968259100101E-2</v>
          </cell>
          <cell r="S25">
            <v>7</v>
          </cell>
          <cell r="T25">
            <v>105.666095972554</v>
          </cell>
          <cell r="U25">
            <v>135.01896807163999</v>
          </cell>
          <cell r="W25">
            <v>0.51618181818181796</v>
          </cell>
          <cell r="X25">
            <v>1.66381478390779E-2</v>
          </cell>
          <cell r="AB25">
            <v>68.684089635906901</v>
          </cell>
          <cell r="AC25">
            <v>66.740369515585698</v>
          </cell>
          <cell r="AE25">
            <v>0.51393333333333302</v>
          </cell>
          <cell r="AF25">
            <v>1.3072123254117799E-2</v>
          </cell>
          <cell r="AK25">
            <v>6</v>
          </cell>
          <cell r="AL25">
            <v>25.227487986739199</v>
          </cell>
          <cell r="AO25">
            <v>0.45952500000000002</v>
          </cell>
          <cell r="AP25">
            <v>1.35231133336789E-2</v>
          </cell>
        </row>
        <row r="26">
          <cell r="J26">
            <v>163.24213652356499</v>
          </cell>
          <cell r="K26">
            <v>228.762821654719</v>
          </cell>
          <cell r="M26">
            <v>0.54879999999999995</v>
          </cell>
          <cell r="N26">
            <v>1.6647618219041201E-2</v>
          </cell>
          <cell r="S26">
            <v>8</v>
          </cell>
          <cell r="T26">
            <v>458.65535354264898</v>
          </cell>
          <cell r="W26">
            <v>0.53987654320987699</v>
          </cell>
          <cell r="X26">
            <v>1.3740179148017499E-2</v>
          </cell>
          <cell r="AB26">
            <v>267.95517554540402</v>
          </cell>
          <cell r="AC26">
            <v>322.691652994962</v>
          </cell>
          <cell r="AE26">
            <v>0.55156923076923203</v>
          </cell>
          <cell r="AF26">
            <v>1.63651258318523E-2</v>
          </cell>
          <cell r="AK26">
            <v>6</v>
          </cell>
          <cell r="AL26">
            <v>387.24514054995097</v>
          </cell>
          <cell r="AM26">
            <v>586.28775642455003</v>
          </cell>
          <cell r="AO26">
            <v>0.48113043478260797</v>
          </cell>
          <cell r="AP26">
            <v>1.6009745909615899E-2</v>
          </cell>
        </row>
      </sheetData>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1 Datalog+Results"/>
      <sheetName val="S2 Datalog + Results"/>
      <sheetName val="S3 Datalog + Results"/>
      <sheetName val="S4 Datalog + Results"/>
      <sheetName val="guodubiaoge"/>
      <sheetName val="Stat"/>
      <sheetName val="Stat for H3&amp;H4"/>
      <sheetName val="S3 Datalog+Results"/>
    </sheetNames>
    <sheetDataSet>
      <sheetData sheetId="0"/>
      <sheetData sheetId="1"/>
      <sheetData sheetId="2">
        <row r="2">
          <cell r="J2">
            <v>86.404700530826602</v>
          </cell>
          <cell r="K2">
            <v>94.945275096541096</v>
          </cell>
          <cell r="M2">
            <v>0.52724444444444496</v>
          </cell>
          <cell r="N2">
            <v>6.7778362774013898E-3</v>
          </cell>
          <cell r="S2">
            <v>7</v>
          </cell>
          <cell r="T2">
            <v>29.822396091561501</v>
          </cell>
          <cell r="U2">
            <v>22.2373559579374</v>
          </cell>
          <cell r="W2">
            <v>0.56420408163265301</v>
          </cell>
          <cell r="X2">
            <v>7.5486449753124803E-3</v>
          </cell>
          <cell r="AB2">
            <v>42.6590828919757</v>
          </cell>
          <cell r="AC2">
            <v>21.195860825383601</v>
          </cell>
          <cell r="AE2">
            <v>0.51593103448275801</v>
          </cell>
          <cell r="AF2">
            <v>7.0209205974572902E-3</v>
          </cell>
          <cell r="AK2">
            <v>7</v>
          </cell>
          <cell r="AL2">
            <v>48.242863136865097</v>
          </cell>
          <cell r="AM2">
            <v>31.8840805825511</v>
          </cell>
          <cell r="AO2">
            <v>0.47650602409638498</v>
          </cell>
          <cell r="AP2">
            <v>7.4718167757934998E-3</v>
          </cell>
        </row>
        <row r="3">
          <cell r="J3">
            <v>162.778881669154</v>
          </cell>
          <cell r="M3">
            <v>0.42077894736842097</v>
          </cell>
          <cell r="N3">
            <v>8.0149064973690995E-3</v>
          </cell>
          <cell r="S3">
            <v>7</v>
          </cell>
          <cell r="T3">
            <v>148.61720512083301</v>
          </cell>
          <cell r="U3">
            <v>123.247262202654</v>
          </cell>
          <cell r="W3">
            <v>0.48281159420289799</v>
          </cell>
          <cell r="X3">
            <v>9.0391431999782001E-3</v>
          </cell>
          <cell r="AB3">
            <v>148.03379667723701</v>
          </cell>
          <cell r="AC3">
            <v>101.665136600507</v>
          </cell>
          <cell r="AE3">
            <v>0.47709890109890202</v>
          </cell>
          <cell r="AF3">
            <v>8.4844611376321006E-3</v>
          </cell>
          <cell r="AK3">
            <v>7</v>
          </cell>
          <cell r="AL3">
            <v>97.520517265824495</v>
          </cell>
          <cell r="AM3">
            <v>65.2220430040107</v>
          </cell>
          <cell r="AO3">
            <v>0.43167647058823599</v>
          </cell>
          <cell r="AP3">
            <v>8.6323655962600894E-3</v>
          </cell>
        </row>
        <row r="4">
          <cell r="J4">
            <v>176.49866751729101</v>
          </cell>
          <cell r="K4">
            <v>219.163080139431</v>
          </cell>
          <cell r="M4">
            <v>0.50059523809523798</v>
          </cell>
          <cell r="N4">
            <v>8.9590032338268798E-3</v>
          </cell>
          <cell r="S4">
            <v>7</v>
          </cell>
          <cell r="T4">
            <v>108.801685529927</v>
          </cell>
          <cell r="U4">
            <v>135.62963107447001</v>
          </cell>
          <cell r="W4">
            <v>0.52159999999999895</v>
          </cell>
          <cell r="X4">
            <v>8.0558866098290292E-3</v>
          </cell>
          <cell r="AB4">
            <v>285.34309323764597</v>
          </cell>
          <cell r="AC4">
            <v>382.93104720809299</v>
          </cell>
          <cell r="AE4">
            <v>0.54693333333333305</v>
          </cell>
          <cell r="AF4">
            <v>8.4081206716993904E-3</v>
          </cell>
          <cell r="AK4">
            <v>6</v>
          </cell>
          <cell r="AL4">
            <v>176.006777066133</v>
          </cell>
          <cell r="AM4">
            <v>227.02370956770599</v>
          </cell>
          <cell r="AO4">
            <v>0.50346153846153896</v>
          </cell>
          <cell r="AP4">
            <v>8.4565147839241201E-3</v>
          </cell>
        </row>
        <row r="5">
          <cell r="J5">
            <v>180.058568425098</v>
          </cell>
          <cell r="K5">
            <v>259.13454136088501</v>
          </cell>
          <cell r="M5">
            <v>0.54815584415584295</v>
          </cell>
          <cell r="N5">
            <v>1.5748239016831499E-2</v>
          </cell>
          <cell r="S5">
            <v>8</v>
          </cell>
          <cell r="T5">
            <v>114.648853085743</v>
          </cell>
          <cell r="U5">
            <v>141.702009369872</v>
          </cell>
          <cell r="W5">
            <v>0.45223529411764801</v>
          </cell>
          <cell r="X5">
            <v>1.7078284967210401E-2</v>
          </cell>
          <cell r="AB5">
            <v>141.71927515369001</v>
          </cell>
          <cell r="AC5">
            <v>191.88898539533201</v>
          </cell>
          <cell r="AE5">
            <v>0.53831168831168796</v>
          </cell>
          <cell r="AF5">
            <v>1.6215225381689201E-2</v>
          </cell>
          <cell r="AK5">
            <v>6</v>
          </cell>
          <cell r="AL5">
            <v>507.27164745617102</v>
          </cell>
          <cell r="AO5">
            <v>0.47993548387096802</v>
          </cell>
          <cell r="AP5">
            <v>1.71645370458888E-2</v>
          </cell>
        </row>
        <row r="6">
          <cell r="J6">
            <v>31.397449401402</v>
          </cell>
          <cell r="K6">
            <v>10.0811081987527</v>
          </cell>
          <cell r="M6">
            <v>0.51119540229885096</v>
          </cell>
          <cell r="N6">
            <v>6.4015510726933402E-3</v>
          </cell>
          <cell r="S6">
            <v>5</v>
          </cell>
          <cell r="T6">
            <v>23.844249924343799</v>
          </cell>
          <cell r="U6">
            <v>12.4112133395776</v>
          </cell>
          <cell r="W6">
            <v>0.49580487804878098</v>
          </cell>
          <cell r="X6">
            <v>6.7611774473294601E-3</v>
          </cell>
          <cell r="AB6">
            <v>45.833661008731603</v>
          </cell>
          <cell r="AC6">
            <v>12.304887500917999</v>
          </cell>
          <cell r="AE6">
            <v>0.47560975609756101</v>
          </cell>
          <cell r="AF6">
            <v>6.4211768453249097E-3</v>
          </cell>
          <cell r="AK6">
            <v>4</v>
          </cell>
          <cell r="AL6">
            <v>61.7559862572922</v>
          </cell>
          <cell r="AM6">
            <v>59.125444453452502</v>
          </cell>
          <cell r="AO6">
            <v>0.47804000000000002</v>
          </cell>
          <cell r="AP6">
            <v>7.3553592966860704E-3</v>
          </cell>
        </row>
        <row r="7">
          <cell r="J7">
            <v>86.223648796945895</v>
          </cell>
          <cell r="K7">
            <v>89.207295219997505</v>
          </cell>
          <cell r="M7">
            <v>0.50637037037037003</v>
          </cell>
          <cell r="N7">
            <v>7.3959031297144298E-3</v>
          </cell>
          <cell r="S7">
            <v>7</v>
          </cell>
          <cell r="T7">
            <v>94.036132951225895</v>
          </cell>
          <cell r="U7">
            <v>101.847650047632</v>
          </cell>
          <cell r="W7">
            <v>0.50043243243243296</v>
          </cell>
          <cell r="X7">
            <v>3.63990178966763E-3</v>
          </cell>
          <cell r="AB7">
            <v>448.305699272271</v>
          </cell>
          <cell r="AC7">
            <v>634</v>
          </cell>
          <cell r="AE7">
            <v>0.496</v>
          </cell>
          <cell r="AF7">
            <v>7.2881411919065997E-3</v>
          </cell>
          <cell r="AK7">
            <v>5</v>
          </cell>
          <cell r="AL7">
            <v>121.615866348832</v>
          </cell>
          <cell r="AM7">
            <v>146.28765911012701</v>
          </cell>
          <cell r="AO7">
            <v>0.55497058823529399</v>
          </cell>
          <cell r="AP7">
            <v>3.3108237820418298E-3</v>
          </cell>
        </row>
        <row r="8">
          <cell r="J8">
            <v>63.800847933105999</v>
          </cell>
          <cell r="K8">
            <v>30.730584021886699</v>
          </cell>
          <cell r="M8">
            <v>0.47096703296703302</v>
          </cell>
          <cell r="N8">
            <v>8.2371160476451995E-3</v>
          </cell>
          <cell r="S8">
            <v>7</v>
          </cell>
          <cell r="T8">
            <v>53.400299075866101</v>
          </cell>
          <cell r="U8">
            <v>29.992306705861399</v>
          </cell>
          <cell r="W8">
            <v>0.47209230769230698</v>
          </cell>
          <cell r="X8">
            <v>1.21171364728721E-2</v>
          </cell>
          <cell r="AB8">
            <v>74.478974981438398</v>
          </cell>
          <cell r="AC8">
            <v>46.070554587502102</v>
          </cell>
          <cell r="AE8">
            <v>0.53785185185185203</v>
          </cell>
          <cell r="AF8">
            <v>8.0848003624217207E-3</v>
          </cell>
          <cell r="AK8">
            <v>4</v>
          </cell>
          <cell r="AL8">
            <v>0</v>
          </cell>
          <cell r="AO8">
            <v>0.593487179487179</v>
          </cell>
          <cell r="AP8">
            <v>1.2078064939572E-2</v>
          </cell>
        </row>
        <row r="9">
          <cell r="J9">
            <v>45.229984653225699</v>
          </cell>
          <cell r="K9">
            <v>51.389607118027897</v>
          </cell>
          <cell r="M9">
            <v>0.49297727272727299</v>
          </cell>
          <cell r="N9">
            <v>1.19936400048166E-2</v>
          </cell>
          <cell r="S9">
            <v>6</v>
          </cell>
          <cell r="T9">
            <v>53.445191466571004</v>
          </cell>
          <cell r="U9">
            <v>50.701843389337903</v>
          </cell>
          <cell r="W9">
            <v>0.47243243243243299</v>
          </cell>
          <cell r="X9">
            <v>1.0570359530639201E-2</v>
          </cell>
          <cell r="AB9">
            <v>56.806908696230302</v>
          </cell>
          <cell r="AC9">
            <v>60.363080542143003</v>
          </cell>
          <cell r="AE9">
            <v>0.47863157894736802</v>
          </cell>
          <cell r="AF9">
            <v>1.7467438873812701E-2</v>
          </cell>
          <cell r="AK9">
            <v>5</v>
          </cell>
          <cell r="AL9">
            <v>42.089588093276298</v>
          </cell>
          <cell r="AM9">
            <v>46.934744369258503</v>
          </cell>
          <cell r="AO9">
            <v>0.44153424657534202</v>
          </cell>
          <cell r="AP9">
            <v>1.1669947327726801E-2</v>
          </cell>
        </row>
        <row r="10">
          <cell r="J10">
            <v>133.463554897828</v>
          </cell>
          <cell r="K10">
            <v>168.36409217070999</v>
          </cell>
          <cell r="M10">
            <v>0.485604651162792</v>
          </cell>
          <cell r="N10">
            <v>9.4259358042262705E-3</v>
          </cell>
          <cell r="S10">
            <v>8</v>
          </cell>
          <cell r="T10">
            <v>106.922249451632</v>
          </cell>
          <cell r="U10">
            <v>121.69253248974699</v>
          </cell>
          <cell r="W10">
            <v>0.56242499999999995</v>
          </cell>
          <cell r="X10">
            <v>1.0535623134383601E-2</v>
          </cell>
          <cell r="AB10">
            <v>118.49321292561</v>
          </cell>
          <cell r="AC10">
            <v>141.64931451259099</v>
          </cell>
          <cell r="AE10">
            <v>0.45672727272727198</v>
          </cell>
          <cell r="AF10">
            <v>1.15284271371236E-2</v>
          </cell>
          <cell r="AK10">
            <v>8</v>
          </cell>
          <cell r="AL10">
            <v>124.244859793817</v>
          </cell>
          <cell r="AM10">
            <v>152.09314884611399</v>
          </cell>
          <cell r="AO10">
            <v>0.51657142857142901</v>
          </cell>
          <cell r="AP10">
            <v>8.9692088276917999E-3</v>
          </cell>
        </row>
        <row r="11">
          <cell r="J11">
            <v>86.462631336936596</v>
          </cell>
          <cell r="K11">
            <v>110.211174224652</v>
          </cell>
          <cell r="M11">
            <v>0.48177777777777803</v>
          </cell>
          <cell r="N11">
            <v>7.3827296575577602E-3</v>
          </cell>
          <cell r="S11">
            <v>5</v>
          </cell>
          <cell r="T11">
            <v>98.350027523880996</v>
          </cell>
          <cell r="U11">
            <v>138.58911716374601</v>
          </cell>
          <cell r="W11">
            <v>0.56993442622950896</v>
          </cell>
          <cell r="X11">
            <v>7.3332314430282599E-3</v>
          </cell>
          <cell r="AB11">
            <v>60.598149464691097</v>
          </cell>
          <cell r="AC11">
            <v>74.483857051312597</v>
          </cell>
          <cell r="AE11">
            <v>0.50044444444444502</v>
          </cell>
          <cell r="AF11">
            <v>6.8112926581958503E-3</v>
          </cell>
          <cell r="AK11">
            <v>5</v>
          </cell>
          <cell r="AL11">
            <v>446.56226606293501</v>
          </cell>
          <cell r="AM11">
            <v>647.16996648271595</v>
          </cell>
          <cell r="AO11">
            <v>0.52905882352941103</v>
          </cell>
          <cell r="AP11">
            <v>6.4169111151310999E-3</v>
          </cell>
        </row>
        <row r="12">
          <cell r="J12">
            <v>132.87191800680301</v>
          </cell>
          <cell r="K12">
            <v>173.32176983124899</v>
          </cell>
          <cell r="M12">
            <v>0.52009195402298802</v>
          </cell>
          <cell r="N12">
            <v>1.1780134125258E-2</v>
          </cell>
          <cell r="S12">
            <v>5</v>
          </cell>
          <cell r="T12">
            <v>278.41122233818697</v>
          </cell>
          <cell r="U12">
            <v>370.39675838307397</v>
          </cell>
          <cell r="W12">
            <v>0.51805970149253799</v>
          </cell>
          <cell r="X12">
            <v>1.2503811865377501E-2</v>
          </cell>
          <cell r="AB12">
            <v>101.89126081469099</v>
          </cell>
          <cell r="AC12">
            <v>90.893556175433901</v>
          </cell>
          <cell r="AE12">
            <v>0.52146341463414603</v>
          </cell>
          <cell r="AF12">
            <v>1.4381800428794601E-2</v>
          </cell>
          <cell r="AK12">
            <v>4</v>
          </cell>
          <cell r="AL12">
            <v>60.019084390867498</v>
          </cell>
          <cell r="AM12">
            <v>47.562662841263503</v>
          </cell>
          <cell r="AO12">
            <v>0.57539130434782604</v>
          </cell>
          <cell r="AP12">
            <v>1.3283434566661201E-2</v>
          </cell>
        </row>
        <row r="13">
          <cell r="J13">
            <v>54.915691421228701</v>
          </cell>
          <cell r="K13">
            <v>73.437209979163399</v>
          </cell>
          <cell r="M13">
            <v>0.49053012048192801</v>
          </cell>
          <cell r="N13">
            <v>1.4845122391419999E-2</v>
          </cell>
          <cell r="S13">
            <v>7</v>
          </cell>
          <cell r="T13">
            <v>83.654964794535502</v>
          </cell>
          <cell r="U13">
            <v>94.185830995082</v>
          </cell>
          <cell r="W13">
            <v>0.51811904761904704</v>
          </cell>
          <cell r="X13">
            <v>1.7566036675104899E-2</v>
          </cell>
          <cell r="AB13">
            <v>0</v>
          </cell>
          <cell r="AC13"/>
          <cell r="AE13">
            <v>0.55697959183673496</v>
          </cell>
          <cell r="AF13">
            <v>1.90716297028302E-2</v>
          </cell>
          <cell r="AK13">
            <v>7</v>
          </cell>
          <cell r="AL13">
            <v>111.703445517435</v>
          </cell>
          <cell r="AM13">
            <v>120.853295310231</v>
          </cell>
          <cell r="AO13">
            <v>0.50017500000000004</v>
          </cell>
          <cell r="AP13">
            <v>1.8496001811097899E-2</v>
          </cell>
        </row>
        <row r="14">
          <cell r="J14">
            <v>64.682285624546495</v>
          </cell>
          <cell r="K14">
            <v>30.288524837668501</v>
          </cell>
          <cell r="M14">
            <v>0.52943478260869603</v>
          </cell>
          <cell r="N14">
            <v>1.06464215467495E-2</v>
          </cell>
          <cell r="S14">
            <v>7</v>
          </cell>
          <cell r="T14">
            <v>54.590900094431298</v>
          </cell>
          <cell r="U14">
            <v>51.366130269302403</v>
          </cell>
          <cell r="W14">
            <v>0.50757142857142901</v>
          </cell>
          <cell r="X14">
            <v>1.119631650608E-2</v>
          </cell>
          <cell r="AB14">
            <v>47.766825104605203</v>
          </cell>
          <cell r="AC14">
            <v>34.849007637712099</v>
          </cell>
          <cell r="AE14">
            <v>0.48313636363636397</v>
          </cell>
          <cell r="AF14">
            <v>1.0222539348496E-2</v>
          </cell>
          <cell r="AK14">
            <v>6</v>
          </cell>
          <cell r="AL14">
            <v>76.447666261331094</v>
          </cell>
          <cell r="AM14">
            <v>55.435694990411498</v>
          </cell>
          <cell r="AO14">
            <v>0.48442105263157798</v>
          </cell>
          <cell r="AP14">
            <v>1.0202926733404101E-2</v>
          </cell>
        </row>
        <row r="15">
          <cell r="J15">
            <v>210.79642309009299</v>
          </cell>
          <cell r="K15">
            <v>213.139391009733</v>
          </cell>
          <cell r="M15">
            <v>0.33500000000000102</v>
          </cell>
          <cell r="N15">
            <v>0.548291013164937</v>
          </cell>
          <cell r="S15">
            <v>6</v>
          </cell>
          <cell r="T15">
            <v>57.767632275093099</v>
          </cell>
          <cell r="U15">
            <v>61.726827096749098</v>
          </cell>
          <cell r="W15">
            <v>0.48891566265060299</v>
          </cell>
          <cell r="X15">
            <v>1.7810927402755999E-3</v>
          </cell>
          <cell r="AB15">
            <v>124.17309572963499</v>
          </cell>
          <cell r="AC15">
            <v>168.31752706110601</v>
          </cell>
          <cell r="AE15">
            <v>0.53613793103448204</v>
          </cell>
          <cell r="AF15">
            <v>2.7490248119797201E-3</v>
          </cell>
          <cell r="AK15">
            <v>7</v>
          </cell>
          <cell r="AL15">
            <v>55.521980492524797</v>
          </cell>
          <cell r="AM15">
            <v>52.2743699732249</v>
          </cell>
          <cell r="AO15">
            <v>0.53087179487179403</v>
          </cell>
          <cell r="AP15">
            <v>1.7273947594791199E-3</v>
          </cell>
        </row>
        <row r="16">
          <cell r="J16">
            <v>96.496543529627104</v>
          </cell>
          <cell r="K16">
            <v>84.763040939099994</v>
          </cell>
          <cell r="M16">
            <v>0.517613636363636</v>
          </cell>
          <cell r="N16">
            <v>1.2812926112957E-2</v>
          </cell>
          <cell r="S16">
            <v>7</v>
          </cell>
          <cell r="T16">
            <v>77.419831858607097</v>
          </cell>
          <cell r="U16">
            <v>78.2099255390915</v>
          </cell>
          <cell r="W16">
            <v>0.491342465753425</v>
          </cell>
          <cell r="X16">
            <v>1.51193041329057E-2</v>
          </cell>
          <cell r="AB16">
            <v>88.145950176523201</v>
          </cell>
          <cell r="AC16">
            <v>93.397230874596502</v>
          </cell>
          <cell r="AE16">
            <v>0.52986363636363598</v>
          </cell>
          <cell r="AF16">
            <v>1.21026689843362E-2</v>
          </cell>
          <cell r="AK16">
            <v>6</v>
          </cell>
          <cell r="AL16">
            <v>54.743663796541099</v>
          </cell>
          <cell r="AM16">
            <v>58.963723769117003</v>
          </cell>
          <cell r="AO16">
            <v>0.49214999999999898</v>
          </cell>
          <cell r="AP16">
            <v>1.10241041117164E-2</v>
          </cell>
        </row>
        <row r="17">
          <cell r="J17">
            <v>28.064852334949201</v>
          </cell>
          <cell r="K17">
            <v>20.966640169565402</v>
          </cell>
          <cell r="M17">
            <v>0.45319540229885102</v>
          </cell>
          <cell r="N17">
            <v>8.6654419701427E-3</v>
          </cell>
          <cell r="S17">
            <v>6</v>
          </cell>
          <cell r="T17">
            <v>40.294287305851597</v>
          </cell>
          <cell r="U17">
            <v>18.331204484464202</v>
          </cell>
          <cell r="W17">
            <v>0.500524999999999</v>
          </cell>
          <cell r="X17">
            <v>1.2306302879229901E-2</v>
          </cell>
          <cell r="AB17">
            <v>54.577159631972897</v>
          </cell>
          <cell r="AC17">
            <v>20.318994523882399</v>
          </cell>
          <cell r="AE17">
            <v>0.45995402298850602</v>
          </cell>
          <cell r="AF17">
            <v>1.10884030657323E-2</v>
          </cell>
          <cell r="AK17">
            <v>5</v>
          </cell>
          <cell r="AL17">
            <v>45.294130323456301</v>
          </cell>
          <cell r="AM17">
            <v>20.283566671645499</v>
          </cell>
          <cell r="AO17">
            <v>0.45567164179104402</v>
          </cell>
          <cell r="AP17">
            <v>1.16940338424885E-2</v>
          </cell>
        </row>
        <row r="18">
          <cell r="J18">
            <v>378.40052285056601</v>
          </cell>
          <cell r="K18">
            <v>501.280620879727</v>
          </cell>
          <cell r="M18">
            <v>0.54318681318681294</v>
          </cell>
          <cell r="N18">
            <v>8.20073803625751E-3</v>
          </cell>
          <cell r="S18">
            <v>6</v>
          </cell>
          <cell r="T18">
            <v>387.282106738008</v>
          </cell>
          <cell r="U18">
            <v>565.54629817956902</v>
          </cell>
          <cell r="W18">
            <v>0.52590243902439004</v>
          </cell>
          <cell r="X18">
            <v>8.3934987645764795E-3</v>
          </cell>
          <cell r="AB18">
            <v>317.66533170577799</v>
          </cell>
          <cell r="AC18">
            <v>430.17974487791298</v>
          </cell>
          <cell r="AE18">
            <v>0.54580851063829805</v>
          </cell>
          <cell r="AF18">
            <v>8.2832377423255991E-3</v>
          </cell>
          <cell r="AK18">
            <v>5</v>
          </cell>
          <cell r="AL18">
            <v>423.08439961242101</v>
          </cell>
          <cell r="AM18">
            <v>571.99264523846603</v>
          </cell>
          <cell r="AO18">
            <v>0.52224999999999999</v>
          </cell>
          <cell r="AP18">
            <v>7.9627807139588096E-3</v>
          </cell>
        </row>
        <row r="19">
          <cell r="J19">
            <v>326.09901248682399</v>
          </cell>
          <cell r="K19">
            <v>421.20135645219102</v>
          </cell>
          <cell r="M19">
            <v>0.42697674418604598</v>
          </cell>
          <cell r="N19">
            <v>9.9314371826426592E-3</v>
          </cell>
          <cell r="S19">
            <v>7</v>
          </cell>
          <cell r="T19">
            <v>411.78154414719802</v>
          </cell>
          <cell r="U19">
            <v>581.57857840290501</v>
          </cell>
          <cell r="W19">
            <v>0.47369014084507099</v>
          </cell>
          <cell r="X19">
            <v>1.33441460920996E-2</v>
          </cell>
          <cell r="AB19">
            <v>470.80041356371601</v>
          </cell>
          <cell r="AC19">
            <v>497.02464727617303</v>
          </cell>
          <cell r="AE19">
            <v>0.53221839080459898</v>
          </cell>
          <cell r="AF19">
            <v>1.1460653350792599E-2</v>
          </cell>
          <cell r="AK19">
            <v>3</v>
          </cell>
          <cell r="AL19">
            <v>406.260018532228</v>
          </cell>
          <cell r="AM19">
            <v>529.76634562076401</v>
          </cell>
          <cell r="AO19">
            <v>0.47391666666666599</v>
          </cell>
          <cell r="AP19">
            <v>1.23267784745892E-2</v>
          </cell>
        </row>
        <row r="20">
          <cell r="J20">
            <v>242.76920910380801</v>
          </cell>
          <cell r="K20">
            <v>372.58556064345697</v>
          </cell>
          <cell r="M20">
            <v>0.47843181818181801</v>
          </cell>
          <cell r="N20">
            <v>1.24870769244295E-2</v>
          </cell>
          <cell r="S20">
            <v>2</v>
          </cell>
          <cell r="T20">
            <v>230.73162132893901</v>
          </cell>
          <cell r="U20">
            <v>286.84296904210299</v>
          </cell>
          <cell r="W20">
            <v>0.57830769230769197</v>
          </cell>
          <cell r="X20">
            <v>2.53998924394187E-2</v>
          </cell>
          <cell r="AB20">
            <v>130.319780573961</v>
          </cell>
          <cell r="AC20">
            <v>144.54681531663701</v>
          </cell>
          <cell r="AE20">
            <v>0.56615151515151496</v>
          </cell>
          <cell r="AF20">
            <v>1.18050057508152E-2</v>
          </cell>
          <cell r="AK20">
            <v>6</v>
          </cell>
          <cell r="AL20">
            <v>122.44611635791701</v>
          </cell>
          <cell r="AM20">
            <v>164.17855064297501</v>
          </cell>
          <cell r="AO20">
            <v>0.49058333333333298</v>
          </cell>
          <cell r="AP20">
            <v>1.17257832268268E-2</v>
          </cell>
        </row>
        <row r="21">
          <cell r="J21">
            <v>187.01400579844201</v>
          </cell>
          <cell r="K21">
            <v>263.32618412395402</v>
          </cell>
          <cell r="M21">
            <v>0.52158490566037796</v>
          </cell>
          <cell r="N21">
            <v>4.2609282082687598E-2</v>
          </cell>
          <cell r="S21">
            <v>7</v>
          </cell>
          <cell r="T21">
            <v>54.687267902991501</v>
          </cell>
          <cell r="U21">
            <v>77.663358898752406</v>
          </cell>
          <cell r="W21">
            <v>0.50484375000000004</v>
          </cell>
          <cell r="X21">
            <v>2.5383267069258499E-2</v>
          </cell>
          <cell r="AB21">
            <v>37.791303081501098</v>
          </cell>
          <cell r="AC21">
            <v>42.680632184123603</v>
          </cell>
          <cell r="AE21">
            <v>0.53122857142857105</v>
          </cell>
          <cell r="AF21">
            <v>3.1758239057236098E-2</v>
          </cell>
          <cell r="AK21">
            <v>6</v>
          </cell>
          <cell r="AL21">
            <v>41.902523639465699</v>
          </cell>
          <cell r="AM21">
            <v>38.032598223200203</v>
          </cell>
          <cell r="AO21">
            <v>0.45362162162162101</v>
          </cell>
          <cell r="AP21">
            <v>2.50079846684007E-2</v>
          </cell>
        </row>
        <row r="22">
          <cell r="J22">
            <v>44.268600186502702</v>
          </cell>
          <cell r="K22">
            <v>25.848275248715801</v>
          </cell>
          <cell r="M22">
            <v>0.48714285714285599</v>
          </cell>
          <cell r="N22">
            <v>1.3074827776139599E-2</v>
          </cell>
          <cell r="S22">
            <v>8</v>
          </cell>
          <cell r="T22">
            <v>68.593070652476598</v>
          </cell>
          <cell r="U22">
            <v>49.700618860850298</v>
          </cell>
          <cell r="W22">
            <v>0.462666666666667</v>
          </cell>
          <cell r="X22">
            <v>1.3784987412365999E-2</v>
          </cell>
          <cell r="AB22">
            <v>65.9072509248535</v>
          </cell>
          <cell r="AC22">
            <v>25.456357630086099</v>
          </cell>
          <cell r="AE22">
            <v>0.52417977528089899</v>
          </cell>
          <cell r="AF22">
            <v>1.3048728040108801E-2</v>
          </cell>
          <cell r="AK22">
            <v>7</v>
          </cell>
          <cell r="AL22">
            <v>69.605782297270096</v>
          </cell>
          <cell r="AM22">
            <v>41.310077735615401</v>
          </cell>
          <cell r="AO22">
            <v>0.515384615384616</v>
          </cell>
          <cell r="AP22">
            <v>1.39853950200185E-2</v>
          </cell>
        </row>
        <row r="23">
          <cell r="J23">
            <v>126.401212201356</v>
          </cell>
          <cell r="K23">
            <v>159.63315789033001</v>
          </cell>
          <cell r="M23">
            <v>0.47017582417582499</v>
          </cell>
          <cell r="N23">
            <v>1.209990172794E-2</v>
          </cell>
          <cell r="S23">
            <v>8</v>
          </cell>
          <cell r="T23">
            <v>84.359380022775497</v>
          </cell>
          <cell r="U23">
            <v>101.484199435394</v>
          </cell>
          <cell r="W23">
            <v>0.47981333333333298</v>
          </cell>
          <cell r="X23">
            <v>1.55028755331191E-2</v>
          </cell>
          <cell r="AB23">
            <v>83.002584212980906</v>
          </cell>
          <cell r="AC23">
            <v>91.228847974215896</v>
          </cell>
          <cell r="AE23">
            <v>0.46937078651685399</v>
          </cell>
          <cell r="AF23">
            <v>1.43799754831493E-2</v>
          </cell>
          <cell r="AK23">
            <v>7</v>
          </cell>
          <cell r="AL23">
            <v>66.342776431758907</v>
          </cell>
          <cell r="AM23">
            <v>81.7131230755421</v>
          </cell>
          <cell r="AO23">
            <v>0.55591176470588199</v>
          </cell>
          <cell r="AP23">
            <v>1.6408187427095901E-2</v>
          </cell>
        </row>
        <row r="24">
          <cell r="J24">
            <v>42.500125996157401</v>
          </cell>
          <cell r="K24">
            <v>42.350657979451</v>
          </cell>
          <cell r="M24">
            <v>0.52324999999999999</v>
          </cell>
          <cell r="N24">
            <v>1.61259383571178E-2</v>
          </cell>
          <cell r="S24">
            <v>5</v>
          </cell>
          <cell r="T24">
            <v>48.000708867594902</v>
          </cell>
          <cell r="U24">
            <v>63.508140821608201</v>
          </cell>
          <cell r="W24">
            <v>0.249999999999999</v>
          </cell>
          <cell r="X24">
            <v>1.13869730796359</v>
          </cell>
          <cell r="AB24">
            <v>62.702686017302199</v>
          </cell>
          <cell r="AC24">
            <v>70.560468117898694</v>
          </cell>
          <cell r="AE24">
            <v>0.51999999999999902</v>
          </cell>
          <cell r="AF24">
            <v>2.6433263407079698E-2</v>
          </cell>
        </row>
        <row r="25">
          <cell r="J25">
            <v>333.94702066737</v>
          </cell>
          <cell r="K25">
            <v>499.33779571972599</v>
          </cell>
          <cell r="M25">
            <v>0.46071264367816001</v>
          </cell>
          <cell r="N25">
            <v>1.3508266287114599E-2</v>
          </cell>
          <cell r="S25">
            <v>7</v>
          </cell>
          <cell r="T25">
            <v>43.3084346613972</v>
          </cell>
          <cell r="U25">
            <v>27.3263749742035</v>
          </cell>
          <cell r="W25">
            <v>0.55286111111111103</v>
          </cell>
          <cell r="X25">
            <v>1.38509783865934E-2</v>
          </cell>
          <cell r="AB25">
            <v>424.33235197720899</v>
          </cell>
          <cell r="AC25">
            <v>415.064634921829</v>
          </cell>
          <cell r="AE25">
            <v>0.50131868131868096</v>
          </cell>
          <cell r="AF25">
            <v>1.3767959576288199E-2</v>
          </cell>
          <cell r="AK25">
            <v>6</v>
          </cell>
          <cell r="AL25">
            <v>67.4085761184446</v>
          </cell>
          <cell r="AM25">
            <v>89.057080776115896</v>
          </cell>
          <cell r="AO25">
            <v>0.44433333333333402</v>
          </cell>
          <cell r="AP25">
            <v>1.3311789659907401E-2</v>
          </cell>
        </row>
        <row r="26">
          <cell r="J26">
            <v>193.73454822210999</v>
          </cell>
          <cell r="K26">
            <v>304.00147220843297</v>
          </cell>
          <cell r="M26">
            <v>0.53830232558139501</v>
          </cell>
          <cell r="N26">
            <v>1.5252737268516E-2</v>
          </cell>
          <cell r="S26">
            <v>8</v>
          </cell>
          <cell r="T26">
            <v>157.22493393846599</v>
          </cell>
          <cell r="U26">
            <v>216.18369344836799</v>
          </cell>
          <cell r="W26">
            <v>0.55437499999999995</v>
          </cell>
          <cell r="X26">
            <v>1.32381638702315E-2</v>
          </cell>
          <cell r="AB26">
            <v>130.05015711736601</v>
          </cell>
          <cell r="AC26">
            <v>172.485719784021</v>
          </cell>
          <cell r="AE26">
            <v>0.48812499999999998</v>
          </cell>
          <cell r="AF26">
            <v>1.3591441375447001E-2</v>
          </cell>
          <cell r="AK26">
            <v>6</v>
          </cell>
          <cell r="AL26">
            <v>173.803757337165</v>
          </cell>
          <cell r="AM26">
            <v>212.03377698056701</v>
          </cell>
          <cell r="AO26">
            <v>0.57861111111111097</v>
          </cell>
          <cell r="AP26">
            <v>1.2988913583491E-2</v>
          </cell>
        </row>
      </sheetData>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1 Datalog+Results"/>
      <sheetName val="S2 Datalog + Results"/>
      <sheetName val="S3 Datalog + Results"/>
      <sheetName val="S4 Datalog + Results"/>
      <sheetName val="guodubiaoge"/>
      <sheetName val="Stat"/>
      <sheetName val="Stat for H3&amp;H4"/>
      <sheetName val="S4 Datalog+Results"/>
    </sheetNames>
    <sheetDataSet>
      <sheetData sheetId="0"/>
      <sheetData sheetId="1"/>
      <sheetData sheetId="2"/>
      <sheetData sheetId="3">
        <row r="2">
          <cell r="J2">
            <v>101.53169790923801</v>
          </cell>
          <cell r="K2">
            <v>132.46314076048</v>
          </cell>
          <cell r="M2">
            <v>0.52852873563218405</v>
          </cell>
          <cell r="N2">
            <v>8.9132843956939798E-3</v>
          </cell>
          <cell r="S2">
            <v>7</v>
          </cell>
          <cell r="T2">
            <v>58.074328930089798</v>
          </cell>
          <cell r="U2">
            <v>56.715624557661798</v>
          </cell>
          <cell r="W2">
            <v>0.50969047619047703</v>
          </cell>
          <cell r="X2">
            <v>6.9581718818523099E-3</v>
          </cell>
          <cell r="AB2">
            <v>61.047048960989798</v>
          </cell>
          <cell r="AC2">
            <v>59.3122925871889</v>
          </cell>
          <cell r="AE2">
            <v>0.54312359550561795</v>
          </cell>
          <cell r="AF2">
            <v>7.8200309661705502E-3</v>
          </cell>
          <cell r="AK2">
            <v>7</v>
          </cell>
          <cell r="AL2">
            <v>48.516008755770997</v>
          </cell>
          <cell r="AM2">
            <v>35.5851092453007</v>
          </cell>
          <cell r="AO2">
            <v>0.50760824742268096</v>
          </cell>
          <cell r="AP2">
            <v>7.5887100049550401E-3</v>
          </cell>
        </row>
        <row r="3">
          <cell r="J3">
            <v>150.01483051312599</v>
          </cell>
          <cell r="K3">
            <v>112.545046967422</v>
          </cell>
          <cell r="M3">
            <v>0.45928735632183898</v>
          </cell>
          <cell r="N3">
            <v>8.7403799194690403E-3</v>
          </cell>
          <cell r="S3">
            <v>8</v>
          </cell>
          <cell r="T3">
            <v>113.832928697349</v>
          </cell>
          <cell r="U3">
            <v>60.666235723528899</v>
          </cell>
          <cell r="W3">
            <v>0.44530864197530801</v>
          </cell>
          <cell r="X3">
            <v>8.2879890182226794E-3</v>
          </cell>
          <cell r="AB3">
            <v>106.028516659243</v>
          </cell>
          <cell r="AC3">
            <v>101.49411285909601</v>
          </cell>
          <cell r="AE3">
            <v>0.45167164179104402</v>
          </cell>
          <cell r="AF3">
            <v>8.7174093307670307E-3</v>
          </cell>
          <cell r="AK3">
            <v>7</v>
          </cell>
          <cell r="AL3">
            <v>153.331882427572</v>
          </cell>
          <cell r="AM3">
            <v>122.203713416637</v>
          </cell>
          <cell r="AO3">
            <v>0.45912500000000001</v>
          </cell>
          <cell r="AP3">
            <v>8.3913483393088292E-3</v>
          </cell>
        </row>
        <row r="4">
          <cell r="J4">
            <v>449.527501226536</v>
          </cell>
          <cell r="K4">
            <v>551.44235117250696</v>
          </cell>
          <cell r="M4">
            <v>0.52268235294117704</v>
          </cell>
          <cell r="N4">
            <v>9.7110214320783299E-3</v>
          </cell>
          <cell r="S4">
            <v>6</v>
          </cell>
          <cell r="T4">
            <v>271.72435616808701</v>
          </cell>
          <cell r="U4">
            <v>326.44763838334097</v>
          </cell>
          <cell r="W4">
            <v>0.46694871794871801</v>
          </cell>
          <cell r="X4">
            <v>1.0187072605981199E-2</v>
          </cell>
          <cell r="AB4">
            <v>89.632623854488301</v>
          </cell>
          <cell r="AC4">
            <v>78.919594053576702</v>
          </cell>
          <cell r="AE4">
            <v>0.54920930232558096</v>
          </cell>
          <cell r="AF4">
            <v>9.4065298044902594E-3</v>
          </cell>
          <cell r="AK4">
            <v>6</v>
          </cell>
          <cell r="AL4">
            <v>208.63381132235199</v>
          </cell>
          <cell r="AM4">
            <v>295.97245634561102</v>
          </cell>
          <cell r="AO4">
            <v>0.51728125000000003</v>
          </cell>
          <cell r="AP4">
            <v>1.01746726544587E-2</v>
          </cell>
        </row>
        <row r="5">
          <cell r="J5">
            <v>253.365229190581</v>
          </cell>
          <cell r="K5">
            <v>329.84578912624698</v>
          </cell>
          <cell r="M5">
            <v>0.52546666666666697</v>
          </cell>
          <cell r="N5">
            <v>1.7699290932370101E-2</v>
          </cell>
        </row>
        <row r="6">
          <cell r="J6">
            <v>32.470788216270797</v>
          </cell>
          <cell r="K6">
            <v>12.5780995765284</v>
          </cell>
          <cell r="M6">
            <v>0.53646511627907001</v>
          </cell>
          <cell r="N6">
            <v>6.95285329727702E-3</v>
          </cell>
          <cell r="AK6">
            <v>5</v>
          </cell>
          <cell r="AL6">
            <v>132.53707879713201</v>
          </cell>
          <cell r="AO6">
            <v>0.49116279069767499</v>
          </cell>
          <cell r="AP6">
            <v>8.2589262242361294E-3</v>
          </cell>
        </row>
        <row r="7">
          <cell r="J7">
            <v>131.815880542695</v>
          </cell>
          <cell r="K7">
            <v>107.244086632538</v>
          </cell>
          <cell r="M7">
            <v>0.51175280898876396</v>
          </cell>
          <cell r="N7">
            <v>6.01403901461751E-3</v>
          </cell>
          <cell r="S7">
            <v>5</v>
          </cell>
          <cell r="T7">
            <v>87.405928339868197</v>
          </cell>
          <cell r="U7">
            <v>84.768415170547399</v>
          </cell>
          <cell r="W7">
            <v>0.48172549019607802</v>
          </cell>
          <cell r="X7">
            <v>4.03748434943638E-3</v>
          </cell>
          <cell r="AB7">
            <v>105.450355799234</v>
          </cell>
          <cell r="AC7">
            <v>78.361069051265204</v>
          </cell>
          <cell r="AE7">
            <v>0.56325714285714201</v>
          </cell>
          <cell r="AF7">
            <v>3.5043475792738798E-3</v>
          </cell>
          <cell r="AK7">
            <v>6</v>
          </cell>
          <cell r="AL7">
            <v>57.313496792645097</v>
          </cell>
          <cell r="AM7">
            <v>57.177209912107998</v>
          </cell>
          <cell r="AO7">
            <v>0.53323684210526301</v>
          </cell>
          <cell r="AP7">
            <v>3.19100708370242E-3</v>
          </cell>
        </row>
        <row r="8">
          <cell r="J8">
            <v>56.406889883039703</v>
          </cell>
          <cell r="K8">
            <v>34.947439525833097</v>
          </cell>
          <cell r="M8">
            <v>0.51043678160919603</v>
          </cell>
          <cell r="N8">
            <v>1.0955922544502899E-2</v>
          </cell>
          <cell r="S8">
            <v>6</v>
          </cell>
          <cell r="T8">
            <v>44.467109409450799</v>
          </cell>
          <cell r="U8">
            <v>28.029085422639401</v>
          </cell>
          <cell r="W8">
            <v>0.57414084507042196</v>
          </cell>
          <cell r="X8">
            <v>1.47234527822107E-2</v>
          </cell>
          <cell r="AB8">
            <v>61.177924261848098</v>
          </cell>
          <cell r="AC8">
            <v>42.216089328574498</v>
          </cell>
          <cell r="AE8">
            <v>0.53491139240506302</v>
          </cell>
          <cell r="AF8">
            <v>1.04314805787745E-2</v>
          </cell>
          <cell r="AK8">
            <v>6</v>
          </cell>
          <cell r="AL8">
            <v>24.0416305603426</v>
          </cell>
          <cell r="AM8">
            <v>34</v>
          </cell>
          <cell r="AO8">
            <v>0.49741538461538398</v>
          </cell>
          <cell r="AP8">
            <v>1.3576081717993099E-2</v>
          </cell>
        </row>
        <row r="9">
          <cell r="J9">
            <v>56.663566791094503</v>
          </cell>
          <cell r="K9">
            <v>50.320521049663803</v>
          </cell>
          <cell r="M9">
            <v>0.54132558139534903</v>
          </cell>
          <cell r="N9">
            <v>1.6741039503970701E-2</v>
          </cell>
          <cell r="S9">
            <v>6</v>
          </cell>
          <cell r="T9">
            <v>56.279889669446497</v>
          </cell>
          <cell r="U9">
            <v>75.700903995075393</v>
          </cell>
          <cell r="W9">
            <v>0.49497297297297199</v>
          </cell>
          <cell r="X9">
            <v>1.2587054332068699E-2</v>
          </cell>
          <cell r="AB9">
            <v>61.399846713738398</v>
          </cell>
          <cell r="AC9">
            <v>55.821850089086098</v>
          </cell>
          <cell r="AE9">
            <v>0.50094252873563205</v>
          </cell>
          <cell r="AF9">
            <v>1.40116204354038E-2</v>
          </cell>
          <cell r="AK9">
            <v>6</v>
          </cell>
          <cell r="AL9">
            <v>45.084558235657397</v>
          </cell>
          <cell r="AM9">
            <v>51.289459888482398</v>
          </cell>
          <cell r="AO9">
            <v>0.46737499999999899</v>
          </cell>
          <cell r="AP9">
            <v>1.16507917777965E-2</v>
          </cell>
        </row>
        <row r="10">
          <cell r="J10">
            <v>142.58407819542401</v>
          </cell>
          <cell r="K10">
            <v>192.33163563105401</v>
          </cell>
          <cell r="M10">
            <v>0.450967032967033</v>
          </cell>
          <cell r="N10">
            <v>9.8174644682620694E-3</v>
          </cell>
          <cell r="S10">
            <v>8</v>
          </cell>
          <cell r="T10">
            <v>120.08076639518799</v>
          </cell>
          <cell r="U10">
            <v>144.290360139537</v>
          </cell>
          <cell r="W10">
            <v>0.50377215189873403</v>
          </cell>
          <cell r="X10">
            <v>9.5369469000796195E-3</v>
          </cell>
          <cell r="AB10">
            <v>116.576056743183</v>
          </cell>
          <cell r="AC10">
            <v>142.40052555176601</v>
          </cell>
          <cell r="AE10">
            <v>0.48543820224718998</v>
          </cell>
          <cell r="AF10">
            <v>9.2314376069934801E-3</v>
          </cell>
          <cell r="AK10">
            <v>8</v>
          </cell>
          <cell r="AL10">
            <v>84.544731512622604</v>
          </cell>
          <cell r="AM10">
            <v>126.721985221436</v>
          </cell>
          <cell r="AO10">
            <v>0.56594736842105198</v>
          </cell>
          <cell r="AP10">
            <v>9.3786003745826192E-3</v>
          </cell>
        </row>
        <row r="11">
          <cell r="J11">
            <v>57.279330842222599</v>
          </cell>
          <cell r="K11">
            <v>45.0700885669822</v>
          </cell>
          <cell r="M11">
            <v>0.52492307692307705</v>
          </cell>
          <cell r="N11">
            <v>6.4598930824022703E-3</v>
          </cell>
          <cell r="S11">
            <v>7</v>
          </cell>
          <cell r="T11">
            <v>45.931329058359097</v>
          </cell>
          <cell r="U11">
            <v>26.234049479877701</v>
          </cell>
          <cell r="W11">
            <v>0.48599999999999999</v>
          </cell>
          <cell r="X11">
            <v>7.1916646373253899E-3</v>
          </cell>
          <cell r="AB11">
            <v>67.810044786248994</v>
          </cell>
          <cell r="AC11">
            <v>51.611045329465099</v>
          </cell>
          <cell r="AE11">
            <v>0.48793258426966302</v>
          </cell>
          <cell r="AF11">
            <v>7.0207629796317002E-3</v>
          </cell>
          <cell r="AK11">
            <v>6</v>
          </cell>
          <cell r="AL11">
            <v>219.91770955803599</v>
          </cell>
          <cell r="AM11">
            <v>274.52098933397701</v>
          </cell>
          <cell r="AO11">
            <v>0.50793939393939402</v>
          </cell>
          <cell r="AP11">
            <v>8.5288419736710194E-3</v>
          </cell>
        </row>
        <row r="12">
          <cell r="J12">
            <v>375.79921500716301</v>
          </cell>
          <cell r="K12">
            <v>483.63209157375002</v>
          </cell>
          <cell r="M12">
            <v>0.47888888888888897</v>
          </cell>
          <cell r="N12">
            <v>1.0679015338031299E-2</v>
          </cell>
          <cell r="S12">
            <v>5</v>
          </cell>
          <cell r="T12">
            <v>197.60911291666201</v>
          </cell>
          <cell r="U12">
            <v>241.44434669095</v>
          </cell>
          <cell r="W12">
            <v>0.45335593220338999</v>
          </cell>
          <cell r="X12">
            <v>1.22621963023305E-2</v>
          </cell>
          <cell r="AB12">
            <v>153.51635796457501</v>
          </cell>
          <cell r="AC12">
            <v>166.221304663072</v>
          </cell>
          <cell r="AE12">
            <v>0.45765714285714298</v>
          </cell>
          <cell r="AF12">
            <v>1.2081023236560601E-2</v>
          </cell>
          <cell r="AK12">
            <v>5</v>
          </cell>
          <cell r="AL12">
            <v>83.0975905130326</v>
          </cell>
          <cell r="AM12">
            <v>112.74230610647901</v>
          </cell>
          <cell r="AO12">
            <v>0.44922580645161297</v>
          </cell>
          <cell r="AP12">
            <v>1.1832164684095699E-2</v>
          </cell>
        </row>
        <row r="13">
          <cell r="J13">
            <v>66.390000483829795</v>
          </cell>
          <cell r="K13">
            <v>84.853237158563303</v>
          </cell>
          <cell r="M13">
            <v>0.53541463414634205</v>
          </cell>
          <cell r="N13">
            <v>1.5783969016106101E-2</v>
          </cell>
          <cell r="S13">
            <v>7</v>
          </cell>
          <cell r="T13">
            <v>132.41903706148199</v>
          </cell>
          <cell r="U13">
            <v>186.94244638623201</v>
          </cell>
          <cell r="W13">
            <v>0.53879411764705898</v>
          </cell>
          <cell r="X13">
            <v>1.6881256876976398E-2</v>
          </cell>
          <cell r="AB13">
            <v>108.97035610677899</v>
          </cell>
          <cell r="AC13">
            <v>142.77368991033401</v>
          </cell>
          <cell r="AE13">
            <v>0.51213636363636394</v>
          </cell>
          <cell r="AF13">
            <v>1.4594619994274201E-2</v>
          </cell>
          <cell r="AK13">
            <v>5</v>
          </cell>
          <cell r="AL13">
            <v>371.90859091986601</v>
          </cell>
          <cell r="AM13">
            <v>489.60800647048302</v>
          </cell>
          <cell r="AO13">
            <v>0.49513207547169802</v>
          </cell>
          <cell r="AP13">
            <v>1.9733849158091801E-2</v>
          </cell>
        </row>
        <row r="14">
          <cell r="J14">
            <v>98.339697826373097</v>
          </cell>
          <cell r="K14">
            <v>121.679451383087</v>
          </cell>
          <cell r="M14">
            <v>0.50308888888888903</v>
          </cell>
          <cell r="N14">
            <v>1.0758768009605599E-2</v>
          </cell>
          <cell r="S14">
            <v>8</v>
          </cell>
          <cell r="T14">
            <v>67.994236599432796</v>
          </cell>
          <cell r="U14">
            <v>80.432047628506496</v>
          </cell>
          <cell r="W14">
            <v>0.47577777777777802</v>
          </cell>
          <cell r="X14">
            <v>1.43020891542886E-2</v>
          </cell>
          <cell r="AB14">
            <v>65.982439995711303</v>
          </cell>
          <cell r="AC14">
            <v>57.734764486425597</v>
          </cell>
          <cell r="AE14">
            <v>0.49937500000000101</v>
          </cell>
          <cell r="AF14">
            <v>1.0913299445014599E-2</v>
          </cell>
          <cell r="AK14">
            <v>6</v>
          </cell>
          <cell r="AL14">
            <v>370.926767255568</v>
          </cell>
          <cell r="AM14">
            <v>669.92735924625799</v>
          </cell>
          <cell r="AO14">
            <v>0.428983606557377</v>
          </cell>
          <cell r="AP14">
            <v>1.13825983676952E-2</v>
          </cell>
        </row>
        <row r="15">
          <cell r="J15">
            <v>59.572597653328799</v>
          </cell>
          <cell r="K15">
            <v>50.229957681136</v>
          </cell>
          <cell r="M15">
            <v>0.48197619047619</v>
          </cell>
          <cell r="N15">
            <v>1.81425916821348E-3</v>
          </cell>
          <cell r="S15">
            <v>7</v>
          </cell>
          <cell r="T15">
            <v>52.809547405877602</v>
          </cell>
          <cell r="U15">
            <v>55.973913096803201</v>
          </cell>
          <cell r="W15">
            <v>0.46408108108108098</v>
          </cell>
          <cell r="X15">
            <v>1.7287580220855399E-3</v>
          </cell>
          <cell r="AB15">
            <v>72.490522946912193</v>
          </cell>
          <cell r="AC15">
            <v>65.000734929700897</v>
          </cell>
          <cell r="AE15">
            <v>0.48964102564102502</v>
          </cell>
          <cell r="AF15">
            <v>1.84284507225123E-3</v>
          </cell>
          <cell r="AK15">
            <v>7</v>
          </cell>
          <cell r="AL15">
            <v>54.331515969266398</v>
          </cell>
          <cell r="AM15">
            <v>40.149719799769002</v>
          </cell>
          <cell r="AO15">
            <v>0.51980487804877995</v>
          </cell>
          <cell r="AP15">
            <v>1.59238262722792E-3</v>
          </cell>
        </row>
        <row r="16">
          <cell r="J16">
            <v>121.21467089116599</v>
          </cell>
          <cell r="K16">
            <v>73.166631275490403</v>
          </cell>
          <cell r="M16">
            <v>0.51340740740740698</v>
          </cell>
          <cell r="N16">
            <v>1.4580138791448901E-2</v>
          </cell>
          <cell r="S16">
            <v>7</v>
          </cell>
          <cell r="T16">
            <v>91.465125035224105</v>
          </cell>
          <cell r="U16">
            <v>83.8233131419111</v>
          </cell>
          <cell r="W16">
            <v>0.47076056338028099</v>
          </cell>
          <cell r="X16">
            <v>1.2591105195275501E-2</v>
          </cell>
          <cell r="AB16">
            <v>121.803719265819</v>
          </cell>
          <cell r="AC16">
            <v>91.943082582555306</v>
          </cell>
          <cell r="AE16">
            <v>0.46633333333333399</v>
          </cell>
          <cell r="AF16">
            <v>1.1488054399920501E-2</v>
          </cell>
          <cell r="AK16">
            <v>6</v>
          </cell>
          <cell r="AL16">
            <v>115.29196049858101</v>
          </cell>
          <cell r="AM16">
            <v>128.97286536322201</v>
          </cell>
          <cell r="AO16">
            <v>0.51551111111111103</v>
          </cell>
          <cell r="AP16">
            <v>1.1899491606256101E-2</v>
          </cell>
        </row>
        <row r="17">
          <cell r="J17">
            <v>34.692649385005602</v>
          </cell>
          <cell r="K17">
            <v>20.327847255571101</v>
          </cell>
          <cell r="M17">
            <v>0.46346067415730302</v>
          </cell>
          <cell r="N17">
            <v>7.8780831258466206E-3</v>
          </cell>
          <cell r="S17">
            <v>6</v>
          </cell>
          <cell r="T17">
            <v>45.104944693099</v>
          </cell>
          <cell r="U17">
            <v>19.014565969494001</v>
          </cell>
          <cell r="W17">
            <v>0.5071</v>
          </cell>
          <cell r="X17">
            <v>9.3574535767062001E-3</v>
          </cell>
          <cell r="AB17">
            <v>586.89862838482804</v>
          </cell>
          <cell r="AC17">
            <v>829.99999999999102</v>
          </cell>
          <cell r="AE17">
            <v>0.43386363636363701</v>
          </cell>
          <cell r="AF17">
            <v>1.3138448341698399E-2</v>
          </cell>
          <cell r="AK17">
            <v>5</v>
          </cell>
          <cell r="AL17">
            <v>69.572897875623497</v>
          </cell>
          <cell r="AM17">
            <v>58.363001978994099</v>
          </cell>
          <cell r="AO17">
            <v>0.49536363636363601</v>
          </cell>
          <cell r="AP17">
            <v>1.05592306157572E-2</v>
          </cell>
        </row>
        <row r="18">
          <cell r="J18">
            <v>432.261824020527</v>
          </cell>
          <cell r="K18">
            <v>595.50865432590604</v>
          </cell>
          <cell r="M18">
            <v>0.50555555555555598</v>
          </cell>
          <cell r="N18">
            <v>8.6172190126258107E-3</v>
          </cell>
          <cell r="S18">
            <v>7</v>
          </cell>
          <cell r="T18">
            <v>411.63734623189202</v>
          </cell>
          <cell r="U18">
            <v>498.82066978630701</v>
          </cell>
          <cell r="W18">
            <v>0.46752777777777799</v>
          </cell>
          <cell r="X18">
            <v>8.6273170930800998E-3</v>
          </cell>
          <cell r="AB18">
            <v>369.80567223862499</v>
          </cell>
          <cell r="AC18">
            <v>479.24291668826498</v>
          </cell>
          <cell r="AE18">
            <v>0.496418604651163</v>
          </cell>
          <cell r="AF18">
            <v>8.0380277763308101E-3</v>
          </cell>
          <cell r="AK18">
            <v>6</v>
          </cell>
          <cell r="AL18">
            <v>389.08030382979098</v>
          </cell>
          <cell r="AM18">
            <v>570.99068612050405</v>
          </cell>
          <cell r="AO18">
            <v>0.51833802816901398</v>
          </cell>
          <cell r="AP18">
            <v>1.0183339163813299E-2</v>
          </cell>
        </row>
        <row r="19">
          <cell r="J19">
            <v>378.87973871699199</v>
          </cell>
          <cell r="K19">
            <v>527.55410465025398</v>
          </cell>
          <cell r="M19">
            <v>0.51656179775280997</v>
          </cell>
          <cell r="N19">
            <v>1.11480780890223E-2</v>
          </cell>
          <cell r="S19">
            <v>7</v>
          </cell>
          <cell r="T19">
            <v>314.04424714863399</v>
          </cell>
          <cell r="U19">
            <v>429.21886221736497</v>
          </cell>
          <cell r="W19">
            <v>0.55467605633802797</v>
          </cell>
          <cell r="X19">
            <v>1.15936083379419E-2</v>
          </cell>
          <cell r="AB19">
            <v>371.72563135506402</v>
          </cell>
          <cell r="AC19">
            <v>493.68483295085599</v>
          </cell>
          <cell r="AE19">
            <v>0.491296703296703</v>
          </cell>
          <cell r="AF19">
            <v>9.3645852493319994E-3</v>
          </cell>
          <cell r="AK19">
            <v>7</v>
          </cell>
          <cell r="AL19">
            <v>0</v>
          </cell>
          <cell r="AO19">
            <v>0.47339534883721002</v>
          </cell>
          <cell r="AP19">
            <v>1.0490256809160501E-2</v>
          </cell>
        </row>
        <row r="20">
          <cell r="J20">
            <v>92.197770179521896</v>
          </cell>
          <cell r="K20">
            <v>112.439962193338</v>
          </cell>
          <cell r="M20">
            <v>0.51395180722891498</v>
          </cell>
          <cell r="N20">
            <v>1.37005342368678E-2</v>
          </cell>
          <cell r="S20">
            <v>7</v>
          </cell>
          <cell r="T20">
            <v>125.801436793267</v>
          </cell>
          <cell r="U20">
            <v>174.657129953169</v>
          </cell>
          <cell r="W20">
            <v>0.53363636363636402</v>
          </cell>
          <cell r="X20">
            <v>1.6439327354968999E-2</v>
          </cell>
          <cell r="AB20">
            <v>146.38632254610201</v>
          </cell>
          <cell r="AC20">
            <v>157.45241820943801</v>
          </cell>
          <cell r="AE20">
            <v>0.53922388059701498</v>
          </cell>
          <cell r="AF20">
            <v>4.11033313253336E-2</v>
          </cell>
          <cell r="AK20">
            <v>6</v>
          </cell>
          <cell r="AL20">
            <v>0</v>
          </cell>
          <cell r="AO20">
            <v>0.51407017543859701</v>
          </cell>
          <cell r="AP20">
            <v>1.5569286638699199E-2</v>
          </cell>
        </row>
        <row r="21">
          <cell r="J21">
            <v>93.969891581734501</v>
          </cell>
          <cell r="K21">
            <v>103.870111196629</v>
          </cell>
          <cell r="M21">
            <v>0.50734177215189902</v>
          </cell>
          <cell r="N21">
            <v>1.6575338172427501E-2</v>
          </cell>
          <cell r="S21">
            <v>7</v>
          </cell>
          <cell r="T21">
            <v>34.4737072816202</v>
          </cell>
          <cell r="U21">
            <v>25.4406133220402</v>
          </cell>
          <cell r="W21">
            <v>0.46646376811594198</v>
          </cell>
          <cell r="X21">
            <v>2.1755914562576001E-2</v>
          </cell>
          <cell r="AB21">
            <v>99.563204286255598</v>
          </cell>
          <cell r="AC21">
            <v>127.01162522059199</v>
          </cell>
          <cell r="AE21">
            <v>0.56185542168674696</v>
          </cell>
          <cell r="AF21">
            <v>2.4008628850449899E-2</v>
          </cell>
          <cell r="AK21">
            <v>7</v>
          </cell>
          <cell r="AL21">
            <v>50.494048818525698</v>
          </cell>
          <cell r="AM21">
            <v>54.816291432853902</v>
          </cell>
          <cell r="AO21">
            <v>0.53568421052631499</v>
          </cell>
          <cell r="AP21">
            <v>2.7061244057033501E-2</v>
          </cell>
        </row>
        <row r="22">
          <cell r="J22">
            <v>44.175257649196503</v>
          </cell>
          <cell r="K22">
            <v>45.685999237356498</v>
          </cell>
          <cell r="M22">
            <v>0.52990697674418596</v>
          </cell>
          <cell r="N22">
            <v>1.25402948585525E-2</v>
          </cell>
          <cell r="S22">
            <v>8</v>
          </cell>
          <cell r="T22">
            <v>59.156294469830101</v>
          </cell>
          <cell r="U22">
            <v>49.996090072690002</v>
          </cell>
          <cell r="W22">
            <v>0.49658666666666601</v>
          </cell>
          <cell r="X22">
            <v>1.4303654881796E-2</v>
          </cell>
          <cell r="AB22">
            <v>45.193502552424199</v>
          </cell>
          <cell r="AC22">
            <v>25.250941821902501</v>
          </cell>
          <cell r="AE22">
            <v>0.52882758620689696</v>
          </cell>
          <cell r="AF22">
            <v>1.3444418125552899E-2</v>
          </cell>
          <cell r="AK22">
            <v>7</v>
          </cell>
          <cell r="AL22">
            <v>60.248754357038699</v>
          </cell>
          <cell r="AM22">
            <v>50.874556238269598</v>
          </cell>
          <cell r="AO22">
            <v>0.47342465753424601</v>
          </cell>
          <cell r="AP22">
            <v>1.4321172698659399E-2</v>
          </cell>
        </row>
        <row r="23">
          <cell r="J23">
            <v>79.118708269196205</v>
          </cell>
          <cell r="K23">
            <v>98.795174408908906</v>
          </cell>
          <cell r="M23">
            <v>0.56572839506172901</v>
          </cell>
          <cell r="N23">
            <v>2.0093022273122301E-2</v>
          </cell>
          <cell r="S23">
            <v>8</v>
          </cell>
          <cell r="T23">
            <v>64.374617449213503</v>
          </cell>
          <cell r="U23">
            <v>62.387608869534098</v>
          </cell>
          <cell r="W23">
            <v>0.52202564102564097</v>
          </cell>
          <cell r="X23">
            <v>1.356115374755E-2</v>
          </cell>
          <cell r="AB23">
            <v>59.249797143437199</v>
          </cell>
          <cell r="AC23">
            <v>41.098551179949403</v>
          </cell>
          <cell r="AE23">
            <v>0.487767441860466</v>
          </cell>
          <cell r="AF23">
            <v>1.1860827537197201E-2</v>
          </cell>
          <cell r="AK23">
            <v>6</v>
          </cell>
          <cell r="AL23">
            <v>52.344417159320898</v>
          </cell>
          <cell r="AM23">
            <v>42.684891940825501</v>
          </cell>
          <cell r="AO23">
            <v>0.52548051948051899</v>
          </cell>
          <cell r="AP23">
            <v>1.4219423897341699E-2</v>
          </cell>
        </row>
        <row r="24">
          <cell r="J24">
            <v>58.510221401927602</v>
          </cell>
          <cell r="K24">
            <v>51.262677153709703</v>
          </cell>
          <cell r="M24">
            <v>0.49807058823529499</v>
          </cell>
          <cell r="N24">
            <v>1.6587256810141001E-2</v>
          </cell>
          <cell r="S24">
            <v>7</v>
          </cell>
          <cell r="T24">
            <v>50.182216421370299</v>
          </cell>
          <cell r="U24">
            <v>28.731515797117499</v>
          </cell>
          <cell r="W24">
            <v>0.48244155844155701</v>
          </cell>
          <cell r="X24">
            <v>1.64227671149174E-2</v>
          </cell>
          <cell r="AB24">
            <v>41.926624239874897</v>
          </cell>
          <cell r="AC24">
            <v>25.5739744469656</v>
          </cell>
          <cell r="AE24">
            <v>0.495111111111111</v>
          </cell>
          <cell r="AF24">
            <v>1.6304853848182602E-2</v>
          </cell>
          <cell r="AK24">
            <v>7</v>
          </cell>
          <cell r="AL24">
            <v>36.638998321123204</v>
          </cell>
          <cell r="AM24">
            <v>22.417396872511901</v>
          </cell>
          <cell r="AO24">
            <v>0.49389873417721503</v>
          </cell>
          <cell r="AP24">
            <v>1.65772208120986E-2</v>
          </cell>
        </row>
        <row r="25">
          <cell r="J25">
            <v>233.55860114341201</v>
          </cell>
          <cell r="K25">
            <v>342.77571862270503</v>
          </cell>
          <cell r="M25">
            <v>0.47804597701149398</v>
          </cell>
          <cell r="N25">
            <v>1.29413365982343E-2</v>
          </cell>
          <cell r="S25">
            <v>3</v>
          </cell>
          <cell r="T25">
            <v>417.00818004233702</v>
          </cell>
          <cell r="U25">
            <v>616.44644716489597</v>
          </cell>
          <cell r="W25">
            <v>0.452742857142857</v>
          </cell>
          <cell r="X25">
            <v>1.3819861290682099E-2</v>
          </cell>
          <cell r="AB25">
            <v>288.78675312222703</v>
          </cell>
          <cell r="AC25">
            <v>328.75089127613302</v>
          </cell>
          <cell r="AE25">
            <v>0.49738461538461598</v>
          </cell>
          <cell r="AF25">
            <v>1.38364408861733E-2</v>
          </cell>
          <cell r="AK25">
            <v>6</v>
          </cell>
          <cell r="AL25">
            <v>450.77760323761203</v>
          </cell>
          <cell r="AM25">
            <v>599.07810896840704</v>
          </cell>
          <cell r="AO25">
            <v>0.45750000000000102</v>
          </cell>
          <cell r="AP25">
            <v>1.56205142840049E-2</v>
          </cell>
        </row>
        <row r="26">
          <cell r="J26">
            <v>388.90872965260098</v>
          </cell>
          <cell r="K26">
            <v>550</v>
          </cell>
          <cell r="M26">
            <v>0.52694736842105205</v>
          </cell>
          <cell r="N26">
            <v>1.50987544576556E-2</v>
          </cell>
          <cell r="S26">
            <v>8</v>
          </cell>
          <cell r="T26">
            <v>0</v>
          </cell>
          <cell r="W26">
            <v>0.53296202531645598</v>
          </cell>
          <cell r="X26">
            <v>1.49833871327615E-2</v>
          </cell>
          <cell r="AB26">
            <v>120.214039764802</v>
          </cell>
          <cell r="AC26">
            <v>141.73909022203401</v>
          </cell>
          <cell r="AE26">
            <v>0.53028571428571403</v>
          </cell>
          <cell r="AF26">
            <v>1.45973494683901E-2</v>
          </cell>
          <cell r="AK26">
            <v>6</v>
          </cell>
          <cell r="AL26">
            <v>150.75643780787399</v>
          </cell>
          <cell r="AM26">
            <v>184.50690162692399</v>
          </cell>
          <cell r="AO26">
            <v>0.51149295774647896</v>
          </cell>
          <cell r="AP26">
            <v>1.4877837808179899E-2</v>
          </cell>
        </row>
      </sheetData>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1 Datalog+Results"/>
      <sheetName val="S2 Datalog + Results"/>
      <sheetName val="S3 Datalog + Results"/>
      <sheetName val="S4 Datalog + Results"/>
      <sheetName val="guodubiaoge"/>
      <sheetName val="Stat"/>
      <sheetName val="Stat for H3&amp;H4"/>
    </sheetNames>
    <sheetDataSet>
      <sheetData sheetId="0"/>
      <sheetData sheetId="1"/>
      <sheetData sheetId="2"/>
      <sheetData sheetId="3"/>
      <sheetData sheetId="4">
        <row r="2">
          <cell r="C2">
            <v>2.6321412860472498E-5</v>
          </cell>
          <cell r="E2">
            <v>1.86564710442119E-3</v>
          </cell>
          <cell r="G2">
            <v>4.5089617833620502E-4</v>
          </cell>
          <cell r="I2">
            <v>-2.3132096121550999E-4</v>
          </cell>
          <cell r="J2">
            <v>1.6238286479249901E-2</v>
          </cell>
          <cell r="K2">
            <v>2.3265941816044099E-2</v>
          </cell>
          <cell r="L2">
            <v>-3.9425010386373201E-2</v>
          </cell>
          <cell r="M2">
            <v>-3.5515348082937499E-2</v>
          </cell>
          <cell r="N2">
            <v>-202.37676442352699</v>
          </cell>
          <cell r="O2">
            <v>17.079080016421599</v>
          </cell>
          <cell r="P2">
            <v>10.6882197571675</v>
          </cell>
          <cell r="Q2">
            <v>-23.727183341888299</v>
          </cell>
          <cell r="R2">
            <v>4</v>
          </cell>
          <cell r="S2">
            <v>7</v>
          </cell>
          <cell r="T2">
            <v>7</v>
          </cell>
          <cell r="U2">
            <v>7</v>
          </cell>
          <cell r="V2">
            <v>4</v>
          </cell>
          <cell r="W2">
            <v>6</v>
          </cell>
          <cell r="X2">
            <v>7</v>
          </cell>
          <cell r="Y2">
            <v>7</v>
          </cell>
          <cell r="Z2">
            <v>-249.63133103368301</v>
          </cell>
          <cell r="AA2">
            <v>113.985860540234</v>
          </cell>
          <cell r="AB2">
            <v>-56.582304439265002</v>
          </cell>
          <cell r="AC2">
            <v>-43.4573689791481</v>
          </cell>
          <cell r="AD2">
            <v>-2.3860262909634602E-3</v>
          </cell>
          <cell r="AE2">
            <v>-4.5789679946169602E-4</v>
          </cell>
          <cell r="AF2">
            <v>7.7080869791109599E-4</v>
          </cell>
          <cell r="AG2">
            <v>-1.9551125138416799E-3</v>
          </cell>
          <cell r="AH2">
            <v>1.37134646962245E-2</v>
          </cell>
          <cell r="AI2">
            <v>6.4086021505375098E-3</v>
          </cell>
          <cell r="AJ2">
            <v>3.6959637188207703E-2</v>
          </cell>
          <cell r="AK2">
            <v>-1.8838259441706699E-2</v>
          </cell>
          <cell r="AL2">
            <v>-283.44618461067699</v>
          </cell>
          <cell r="AM2">
            <v>169.552461228624</v>
          </cell>
          <cell r="AN2">
            <v>-72.707919138603799</v>
          </cell>
          <cell r="AO2">
            <v>-75.747516202818204</v>
          </cell>
          <cell r="AP2">
            <v>-140.671017132028</v>
          </cell>
          <cell r="AQ2">
            <v>12.728560384572599</v>
          </cell>
          <cell r="AR2">
            <v>5.5837802448894696</v>
          </cell>
          <cell r="AS2">
            <v>-12.531040205218799</v>
          </cell>
        </row>
        <row r="3">
          <cell r="C3">
            <v>4.8596921363741602E-4</v>
          </cell>
          <cell r="E3">
            <v>3.2049201672807798E-4</v>
          </cell>
          <cell r="G3">
            <v>1.4790445862798899E-4</v>
          </cell>
          <cell r="I3">
            <v>-3.2606099145819102E-4</v>
          </cell>
          <cell r="J3">
            <v>-5.3061443932412203E-2</v>
          </cell>
          <cell r="K3">
            <v>7.3801210576617898E-2</v>
          </cell>
          <cell r="L3">
            <v>-4.5422430510666301E-2</v>
          </cell>
          <cell r="M3">
            <v>7.45335820895576E-3</v>
          </cell>
          <cell r="N3">
            <v>92.619167669352095</v>
          </cell>
          <cell r="O3">
            <v>-33.808502611205697</v>
          </cell>
          <cell r="P3">
            <v>-36.443093596496297</v>
          </cell>
          <cell r="Q3">
            <v>20.709600557541499</v>
          </cell>
          <cell r="R3">
            <v>4</v>
          </cell>
          <cell r="S3">
            <v>6</v>
          </cell>
          <cell r="T3">
            <v>7</v>
          </cell>
          <cell r="U3">
            <v>7</v>
          </cell>
          <cell r="V3">
            <v>7</v>
          </cell>
          <cell r="W3">
            <v>7</v>
          </cell>
          <cell r="X3">
            <v>7</v>
          </cell>
          <cell r="Y3">
            <v>8</v>
          </cell>
          <cell r="Z3">
            <v>-73.487445790659905</v>
          </cell>
          <cell r="AA3">
            <v>50.131913010778398</v>
          </cell>
          <cell r="AB3">
            <v>-14.1616765483209</v>
          </cell>
          <cell r="AC3">
            <v>-36.181901815777003</v>
          </cell>
          <cell r="AD3">
            <v>7.5919548607022497E-5</v>
          </cell>
          <cell r="AE3">
            <v>-7.9637636852088002E-5</v>
          </cell>
          <cell r="AF3">
            <v>1.0242367026091E-3</v>
          </cell>
          <cell r="AG3">
            <v>-4.5239090124635402E-4</v>
          </cell>
          <cell r="AH3">
            <v>8.3028985507257996E-3</v>
          </cell>
          <cell r="AI3">
            <v>-6.1447330447330799E-2</v>
          </cell>
          <cell r="AJ3">
            <v>6.2032646834477401E-2</v>
          </cell>
          <cell r="AK3">
            <v>-1.39787143465304E-2</v>
          </cell>
          <cell r="AL3">
            <v>-90.062918598141906</v>
          </cell>
          <cell r="AM3">
            <v>37.426498912526398</v>
          </cell>
          <cell r="AN3">
            <v>123.247262202654</v>
          </cell>
          <cell r="AO3">
            <v>-51.878811243892898</v>
          </cell>
          <cell r="AP3">
            <v>106.658653654696</v>
          </cell>
          <cell r="AQ3">
            <v>13.3585313448666</v>
          </cell>
          <cell r="AR3">
            <v>-50.513279411412498</v>
          </cell>
          <cell r="AS3">
            <v>47.303365768328597</v>
          </cell>
        </row>
        <row r="4">
          <cell r="C4">
            <v>5.7629067191238405E-4</v>
          </cell>
          <cell r="E4">
            <v>-8.3586692886922498E-3</v>
          </cell>
          <cell r="G4">
            <v>4.8394112224729697E-5</v>
          </cell>
          <cell r="I4">
            <v>7.6814284996842104E-4</v>
          </cell>
          <cell r="J4">
            <v>-4.3812148876404999E-2</v>
          </cell>
          <cell r="K4">
            <v>-0.59175</v>
          </cell>
          <cell r="L4">
            <v>-4.3471794871794402E-2</v>
          </cell>
          <cell r="M4">
            <v>-3.1928052325581803E-2</v>
          </cell>
          <cell r="N4">
            <v>766.22971578482202</v>
          </cell>
          <cell r="O4">
            <v>-274.00254087337203</v>
          </cell>
          <cell r="P4">
            <v>-155.907337640387</v>
          </cell>
          <cell r="Q4">
            <v>217.05286229203401</v>
          </cell>
          <cell r="R4">
            <v>6</v>
          </cell>
          <cell r="S4">
            <v>0</v>
          </cell>
          <cell r="T4">
            <v>6</v>
          </cell>
          <cell r="U4">
            <v>6</v>
          </cell>
          <cell r="V4">
            <v>7</v>
          </cell>
          <cell r="W4">
            <v>7</v>
          </cell>
          <cell r="X4">
            <v>7</v>
          </cell>
          <cell r="Y4">
            <v>6</v>
          </cell>
          <cell r="Z4">
            <v>-4.0094916201343302</v>
          </cell>
          <cell r="AA4">
            <v>-108.316041578423</v>
          </cell>
          <cell r="AB4">
            <v>-67.696981987364296</v>
          </cell>
          <cell r="AC4">
            <v>-177.80314505844899</v>
          </cell>
          <cell r="AD4">
            <v>-2.24751820555233E-4</v>
          </cell>
          <cell r="AE4">
            <v>9.2282540126740196E-4</v>
          </cell>
          <cell r="AF4">
            <v>-9.0311662399785396E-4</v>
          </cell>
          <cell r="AG4">
            <v>4.7605117390291102E-4</v>
          </cell>
          <cell r="AH4">
            <v>-9.0332768970293797E-2</v>
          </cell>
          <cell r="AI4">
            <v>-2.9135847342117899E-2</v>
          </cell>
          <cell r="AJ4">
            <v>2.1004761904761599E-2</v>
          </cell>
          <cell r="AK4">
            <v>-5.5733634992458501E-2</v>
          </cell>
          <cell r="AL4">
            <v>115.85291642852199</v>
          </cell>
          <cell r="AM4">
            <v>-100.308221155296</v>
          </cell>
          <cell r="AN4">
            <v>-83.533449064961502</v>
          </cell>
          <cell r="AO4">
            <v>-224.99471278916599</v>
          </cell>
          <cell r="AP4">
            <v>-68.569500856453104</v>
          </cell>
          <cell r="AQ4">
            <v>-217.84453781502</v>
          </cell>
          <cell r="AR4">
            <v>-109.336316171513</v>
          </cell>
          <cell r="AS4">
            <v>119.001187467864</v>
          </cell>
        </row>
        <row r="5">
          <cell r="C5">
            <v>-5.07519760723739E-4</v>
          </cell>
          <cell r="E5">
            <v>5.1625544944283004E-4</v>
          </cell>
          <cell r="G5">
            <v>9.4931166419959896E-4</v>
          </cell>
          <cell r="I5">
            <v>0</v>
          </cell>
          <cell r="J5">
            <v>4.8936363636363799E-2</v>
          </cell>
          <cell r="K5">
            <v>3.3182656053624103E-2</v>
          </cell>
          <cell r="L5">
            <v>-5.8376204440720302E-2</v>
          </cell>
          <cell r="M5">
            <v>0</v>
          </cell>
          <cell r="N5">
            <v>673.26487424787297</v>
          </cell>
          <cell r="O5">
            <v>-243.465977334012</v>
          </cell>
          <cell r="P5">
            <v>-191.88898539533201</v>
          </cell>
          <cell r="Q5">
            <v>0</v>
          </cell>
          <cell r="R5">
            <v>5</v>
          </cell>
          <cell r="S5">
            <v>6</v>
          </cell>
          <cell r="T5">
            <v>6</v>
          </cell>
          <cell r="U5">
            <v>0</v>
          </cell>
          <cell r="V5">
            <v>6</v>
          </cell>
          <cell r="W5">
            <v>8</v>
          </cell>
          <cell r="X5">
            <v>8</v>
          </cell>
          <cell r="Y5">
            <v>0</v>
          </cell>
          <cell r="Z5">
            <v>55.528991287263104</v>
          </cell>
          <cell r="AA5">
            <v>2.98769626765039</v>
          </cell>
          <cell r="AB5">
            <v>-65.409715339355003</v>
          </cell>
          <cell r="AC5">
            <v>-253.365229190581</v>
          </cell>
          <cell r="AD5">
            <v>-7.1862642642079103E-4</v>
          </cell>
          <cell r="AE5">
            <v>-1.90181375766919E-3</v>
          </cell>
          <cell r="AF5">
            <v>1.3300459503789101E-3</v>
          </cell>
          <cell r="AG5">
            <v>-1.7699290932370101E-2</v>
          </cell>
          <cell r="AH5">
            <v>-2.00478468899545E-3</v>
          </cell>
          <cell r="AI5">
            <v>1.8430379746835999E-2</v>
          </cell>
          <cell r="AJ5">
            <v>-9.5920550038195704E-2</v>
          </cell>
          <cell r="AK5">
            <v>-0.52546666666666697</v>
          </cell>
          <cell r="AL5">
            <v>71.239039104767699</v>
          </cell>
          <cell r="AM5">
            <v>-6.79375434355904E-2</v>
          </cell>
          <cell r="AN5">
            <v>-117.43253199101299</v>
          </cell>
          <cell r="AO5">
            <v>-329.84578912624698</v>
          </cell>
          <cell r="AP5">
            <v>36.978552534848603</v>
          </cell>
          <cell r="AQ5">
            <v>-167.201324310449</v>
          </cell>
          <cell r="AR5">
            <v>365.55237230248099</v>
          </cell>
          <cell r="AS5">
            <v>0</v>
          </cell>
        </row>
        <row r="6">
          <cell r="C6">
            <v>-1.9894004291265801E-4</v>
          </cell>
          <cell r="E6">
            <v>8.6652535990883802E-4</v>
          </cell>
          <cell r="G6">
            <v>9.3418245136115601E-4</v>
          </cell>
          <cell r="I6">
            <v>8.2589262242361294E-3</v>
          </cell>
          <cell r="J6">
            <v>2.4263117283949899E-2</v>
          </cell>
          <cell r="K6">
            <v>-1.55994865211807E-2</v>
          </cell>
          <cell r="L6">
            <v>2.4302439024385101E-3</v>
          </cell>
          <cell r="M6">
            <v>0.49116279069767499</v>
          </cell>
          <cell r="N6">
            <v>-608.25504567015696</v>
          </cell>
          <cell r="O6">
            <v>3.8429465285555602</v>
          </cell>
          <cell r="P6">
            <v>46.820556952534503</v>
          </cell>
          <cell r="Q6">
            <v>0</v>
          </cell>
          <cell r="R6">
            <v>6</v>
          </cell>
          <cell r="S6">
            <v>4</v>
          </cell>
          <cell r="T6">
            <v>4</v>
          </cell>
          <cell r="U6">
            <v>5</v>
          </cell>
          <cell r="V6">
            <v>4</v>
          </cell>
          <cell r="W6">
            <v>5</v>
          </cell>
          <cell r="X6">
            <v>5</v>
          </cell>
          <cell r="Y6">
            <v>0</v>
          </cell>
          <cell r="Z6">
            <v>-13.0569304325416</v>
          </cell>
          <cell r="AA6">
            <v>279.23214240948698</v>
          </cell>
          <cell r="AB6">
            <v>-7.55319947705821</v>
          </cell>
          <cell r="AC6">
            <v>-32.470788216270797</v>
          </cell>
          <cell r="AD6">
            <v>-1.1795593561321E-4</v>
          </cell>
          <cell r="AE6">
            <v>8.7681266153499804E-4</v>
          </cell>
          <cell r="AF6">
            <v>3.5962637463611601E-4</v>
          </cell>
          <cell r="AG6">
            <v>-6.95285329727702E-3</v>
          </cell>
          <cell r="AH6">
            <v>-0.100155771195097</v>
          </cell>
          <cell r="AI6">
            <v>2.9887005649717101E-2</v>
          </cell>
          <cell r="AJ6">
            <v>-1.5390524250069801E-2</v>
          </cell>
          <cell r="AK6">
            <v>-0.53646511627907001</v>
          </cell>
          <cell r="AL6">
            <v>-64.169696898146597</v>
          </cell>
          <cell r="AM6">
            <v>397.28358495496502</v>
          </cell>
          <cell r="AN6">
            <v>2.3301051408248599</v>
          </cell>
          <cell r="AO6">
            <v>-12.5780995765284</v>
          </cell>
          <cell r="AP6">
            <v>10.408606933690701</v>
          </cell>
          <cell r="AQ6">
            <v>-12.4002741220331</v>
          </cell>
          <cell r="AR6">
            <v>15.922325248560499</v>
          </cell>
          <cell r="AS6">
            <v>132.53707879713201</v>
          </cell>
        </row>
        <row r="7">
          <cell r="C7">
            <v>-6.9974486950602998E-4</v>
          </cell>
          <cell r="E7">
            <v>4.0308429270426198E-4</v>
          </cell>
          <cell r="G7">
            <v>-3.9773174098647604E-3</v>
          </cell>
          <cell r="I7">
            <v>-3.1334049557145698E-4</v>
          </cell>
          <cell r="J7">
            <v>-7.2167460317460894E-2</v>
          </cell>
          <cell r="K7">
            <v>-2.2214092140921501E-2</v>
          </cell>
          <cell r="L7">
            <v>5.8970588235293803E-2</v>
          </cell>
          <cell r="M7">
            <v>-3.00203007518784E-2</v>
          </cell>
          <cell r="N7">
            <v>-1.7251970252632001</v>
          </cell>
          <cell r="O7">
            <v>-50.108164688338903</v>
          </cell>
          <cell r="P7">
            <v>-487.71234088987302</v>
          </cell>
          <cell r="Q7">
            <v>-21.1838591391572</v>
          </cell>
          <cell r="R7">
            <v>4</v>
          </cell>
          <cell r="S7">
            <v>6</v>
          </cell>
          <cell r="T7">
            <v>5</v>
          </cell>
          <cell r="U7">
            <v>6</v>
          </cell>
          <cell r="V7">
            <v>6</v>
          </cell>
          <cell r="W7">
            <v>6</v>
          </cell>
          <cell r="X7">
            <v>7</v>
          </cell>
          <cell r="Y7">
            <v>5</v>
          </cell>
          <cell r="Z7">
            <v>-6.4285798505655798</v>
          </cell>
          <cell r="AA7">
            <v>0.253950635688582</v>
          </cell>
          <cell r="AB7">
            <v>7.8124841542799404</v>
          </cell>
          <cell r="AC7">
            <v>-44.409952202827</v>
          </cell>
          <cell r="AD7">
            <v>-3.1157410125446999E-4</v>
          </cell>
          <cell r="AE7">
            <v>2.22923671609175E-3</v>
          </cell>
          <cell r="AF7">
            <v>-3.7560013400467999E-3</v>
          </cell>
          <cell r="AG7">
            <v>-1.97655466518113E-3</v>
          </cell>
          <cell r="AH7">
            <v>6.8827172827173197E-2</v>
          </cell>
          <cell r="AI7">
            <v>-4.4382433356117197E-2</v>
          </cell>
          <cell r="AJ7">
            <v>-5.9379379379364003E-3</v>
          </cell>
          <cell r="AK7">
            <v>-3.00273187926859E-2</v>
          </cell>
          <cell r="AL7">
            <v>-3.89268332186546</v>
          </cell>
          <cell r="AM7">
            <v>7.5378246541207696</v>
          </cell>
          <cell r="AN7">
            <v>12.640354827634701</v>
          </cell>
          <cell r="AO7">
            <v>-22.475671461990402</v>
          </cell>
          <cell r="AP7">
            <v>-27.357223099015499</v>
          </cell>
          <cell r="AQ7">
            <v>-30.362160774995999</v>
          </cell>
          <cell r="AR7">
            <v>-326.68983292343898</v>
          </cell>
          <cell r="AS7">
            <v>-48.136859006589098</v>
          </cell>
        </row>
        <row r="8">
          <cell r="C8">
            <v>-5.1271686575454995E-4</v>
          </cell>
          <cell r="E8">
            <v>1.04330579147386E-3</v>
          </cell>
          <cell r="G8">
            <v>3.9932645771502398E-3</v>
          </cell>
          <cell r="I8">
            <v>3.1446011392186101E-3</v>
          </cell>
          <cell r="J8">
            <v>-4.7390722291407998E-2</v>
          </cell>
          <cell r="K8">
            <v>-2.3032564450467001E-3</v>
          </cell>
          <cell r="L8">
            <v>5.5635327635327497E-2</v>
          </cell>
          <cell r="M8">
            <v>-3.7496007789678799E-2</v>
          </cell>
          <cell r="N8">
            <v>522.98641708253695</v>
          </cell>
          <cell r="O8">
            <v>562.53431797297605</v>
          </cell>
          <cell r="P8">
            <v>-46.070554587502102</v>
          </cell>
          <cell r="Q8">
            <v>-8.2160893285744496</v>
          </cell>
          <cell r="R8">
            <v>5</v>
          </cell>
          <cell r="S8">
            <v>6</v>
          </cell>
          <cell r="T8">
            <v>4</v>
          </cell>
          <cell r="U8">
            <v>6</v>
          </cell>
          <cell r="V8">
            <v>6</v>
          </cell>
          <cell r="W8">
            <v>6</v>
          </cell>
          <cell r="X8">
            <v>7</v>
          </cell>
          <cell r="Y8">
            <v>6</v>
          </cell>
          <cell r="Z8">
            <v>-35.163733540240401</v>
          </cell>
          <cell r="AA8">
            <v>332.938561645991</v>
          </cell>
          <cell r="AB8">
            <v>-10.400548857239899</v>
          </cell>
          <cell r="AC8">
            <v>-11.939780473588799</v>
          </cell>
          <cell r="AD8">
            <v>8.6405548901601905E-4</v>
          </cell>
          <cell r="AE8">
            <v>-2.1948535774751101E-4</v>
          </cell>
          <cell r="AF8">
            <v>3.8800204252268599E-3</v>
          </cell>
          <cell r="AG8">
            <v>3.7675302377078099E-3</v>
          </cell>
          <cell r="AH8">
            <v>4.1705034213097798E-2</v>
          </cell>
          <cell r="AI8">
            <v>1.45784021071108E-2</v>
          </cell>
          <cell r="AJ8">
            <v>1.12527472527391E-3</v>
          </cell>
          <cell r="AK8">
            <v>6.3704063461226507E-2</v>
          </cell>
          <cell r="AL8">
            <v>-69.406488272758807</v>
          </cell>
          <cell r="AM8">
            <v>406.27593645538502</v>
          </cell>
          <cell r="AN8">
            <v>-0.73827731602526803</v>
          </cell>
          <cell r="AO8">
            <v>-6.9183541031936597</v>
          </cell>
          <cell r="AP8">
            <v>359.78938633000701</v>
          </cell>
          <cell r="AQ8">
            <v>535.75980653312297</v>
          </cell>
          <cell r="AR8">
            <v>-74.478974981438398</v>
          </cell>
          <cell r="AS8">
            <v>-37.136293701505501</v>
          </cell>
        </row>
        <row r="9">
          <cell r="C9">
            <v>-5.4017619550487896E-4</v>
          </cell>
          <cell r="E9">
            <v>-2.2978262864712601E-3</v>
          </cell>
          <cell r="G9">
            <v>-5.7974915460858997E-3</v>
          </cell>
          <cell r="I9">
            <v>-2.3608286576072899E-3</v>
          </cell>
          <cell r="J9">
            <v>-3.5231941391940899E-2</v>
          </cell>
          <cell r="K9">
            <v>-3.3669191919192501E-2</v>
          </cell>
          <cell r="L9">
            <v>-3.7097332372026601E-2</v>
          </cell>
          <cell r="M9">
            <v>-3.3567528735633199E-2</v>
          </cell>
          <cell r="N9">
            <v>-7.7944620708964898</v>
          </cell>
          <cell r="O9">
            <v>-8.1981917686418093</v>
          </cell>
          <cell r="P9">
            <v>-13.428336172884499</v>
          </cell>
          <cell r="Q9">
            <v>-4.5323902006037597</v>
          </cell>
          <cell r="R9">
            <v>6</v>
          </cell>
          <cell r="S9">
            <v>6</v>
          </cell>
          <cell r="T9">
            <v>5</v>
          </cell>
          <cell r="U9">
            <v>6</v>
          </cell>
          <cell r="V9">
            <v>6</v>
          </cell>
          <cell r="W9">
            <v>6</v>
          </cell>
          <cell r="X9">
            <v>6</v>
          </cell>
          <cell r="Y9">
            <v>6</v>
          </cell>
          <cell r="Z9">
            <v>-35.229289272613997</v>
          </cell>
          <cell r="AA9">
            <v>-13.891373580809701</v>
          </cell>
          <cell r="AB9">
            <v>8.2152068133453096</v>
          </cell>
          <cell r="AC9">
            <v>-0.383677121647921</v>
          </cell>
          <cell r="AD9">
            <v>-2.0244219578758101E-3</v>
          </cell>
          <cell r="AE9">
            <v>4.3198689243102001E-4</v>
          </cell>
          <cell r="AF9">
            <v>-1.4232804741773799E-3</v>
          </cell>
          <cell r="AG9">
            <v>-4.1539851719019803E-3</v>
          </cell>
          <cell r="AH9">
            <v>-2.1384866275278001E-2</v>
          </cell>
          <cell r="AI9">
            <v>-2.2822966507181101E-3</v>
          </cell>
          <cell r="AJ9">
            <v>-2.0544840294840602E-2</v>
          </cell>
          <cell r="AK9">
            <v>-4.6352608422377498E-2</v>
          </cell>
          <cell r="AL9">
            <v>-52.3392759379959</v>
          </cell>
          <cell r="AM9">
            <v>-5.4388557407029801</v>
          </cell>
          <cell r="AN9">
            <v>-0.68776372869006497</v>
          </cell>
          <cell r="AO9">
            <v>25.380382945411601</v>
          </cell>
          <cell r="AP9">
            <v>-3.7621749922007499</v>
          </cell>
          <cell r="AQ9">
            <v>-17.937897681923999</v>
          </cell>
          <cell r="AR9">
            <v>-14.717320602953899</v>
          </cell>
          <cell r="AS9">
            <v>-16.315288478081001</v>
          </cell>
        </row>
        <row r="10">
          <cell r="C10">
            <v>6.45027534952079E-4</v>
          </cell>
          <cell r="E10">
            <v>-1.13008325047388E-3</v>
          </cell>
          <cell r="G10">
            <v>-2.5592183094317899E-3</v>
          </cell>
          <cell r="I10">
            <v>1.4716276758914299E-4</v>
          </cell>
          <cell r="J10">
            <v>5.2886991001984702E-3</v>
          </cell>
          <cell r="K10">
            <v>-1.9124778237713501E-3</v>
          </cell>
          <cell r="L10">
            <v>5.9844155844156803E-2</v>
          </cell>
          <cell r="M10">
            <v>8.0509166173861904E-2</v>
          </cell>
          <cell r="N10">
            <v>0.44540024507300302</v>
          </cell>
          <cell r="O10">
            <v>105.539833785505</v>
          </cell>
          <cell r="P10">
            <v>10.4438343335238</v>
          </cell>
          <cell r="Q10">
            <v>-15.6785403303309</v>
          </cell>
          <cell r="R10">
            <v>8</v>
          </cell>
          <cell r="S10">
            <v>8</v>
          </cell>
          <cell r="T10">
            <v>8</v>
          </cell>
          <cell r="U10">
            <v>8</v>
          </cell>
          <cell r="V10">
            <v>8</v>
          </cell>
          <cell r="W10">
            <v>8</v>
          </cell>
          <cell r="X10">
            <v>8</v>
          </cell>
          <cell r="Y10">
            <v>8</v>
          </cell>
          <cell r="Z10">
            <v>-108.780670353391</v>
          </cell>
          <cell r="AA10">
            <v>-5.3718191310109802</v>
          </cell>
          <cell r="AB10">
            <v>-26.5413054461964</v>
          </cell>
          <cell r="AC10">
            <v>-22.5033118002363</v>
          </cell>
          <cell r="AD10">
            <v>-4.8106989894620999E-4</v>
          </cell>
          <cell r="AE10">
            <v>6.4517721967145098E-4</v>
          </cell>
          <cell r="AF10">
            <v>1.10968733015738E-3</v>
          </cell>
          <cell r="AG10">
            <v>-2.80517568182453E-4</v>
          </cell>
          <cell r="AH10">
            <v>-4.3552777777776698E-2</v>
          </cell>
          <cell r="AI10">
            <v>-3.8725928032997098E-2</v>
          </cell>
          <cell r="AJ10">
            <v>7.6820348837208494E-2</v>
          </cell>
          <cell r="AK10">
            <v>5.2805118931700798E-2</v>
          </cell>
          <cell r="AL10">
            <v>-136.95360137026199</v>
          </cell>
          <cell r="AM10">
            <v>13.669738032896101</v>
          </cell>
          <cell r="AN10">
            <v>-46.671559680962602</v>
          </cell>
          <cell r="AO10">
            <v>-48.041275491516799</v>
          </cell>
          <cell r="AP10">
            <v>-2.67242675409857</v>
          </cell>
          <cell r="AQ10">
            <v>58.712670053133799</v>
          </cell>
          <cell r="AR10">
            <v>5.7516468682074002</v>
          </cell>
          <cell r="AS10">
            <v>-32.031325230560803</v>
          </cell>
        </row>
        <row r="11">
          <cell r="C11">
            <v>6.8312462250026407E-2</v>
          </cell>
          <cell r="E11">
            <v>6.6338742151316203E-4</v>
          </cell>
          <cell r="G11">
            <v>-3.9438154306474299E-4</v>
          </cell>
          <cell r="I11">
            <v>1.50807899403932E-3</v>
          </cell>
          <cell r="J11">
            <v>0.17375000000000099</v>
          </cell>
          <cell r="K11">
            <v>7.4818181818181603E-2</v>
          </cell>
          <cell r="L11">
            <v>2.8614379084966599E-2</v>
          </cell>
          <cell r="M11">
            <v>2.00068096697309E-2</v>
          </cell>
          <cell r="N11">
            <v>-328.631248294268</v>
          </cell>
          <cell r="O11">
            <v>-103.69254824995799</v>
          </cell>
          <cell r="P11">
            <v>572.686109431403</v>
          </cell>
          <cell r="Q11">
            <v>222.909944004512</v>
          </cell>
          <cell r="R11">
            <v>5</v>
          </cell>
          <cell r="S11">
            <v>6</v>
          </cell>
          <cell r="T11">
            <v>5</v>
          </cell>
          <cell r="U11">
            <v>6</v>
          </cell>
          <cell r="V11">
            <v>5</v>
          </cell>
          <cell r="W11">
            <v>7</v>
          </cell>
          <cell r="X11">
            <v>5</v>
          </cell>
          <cell r="Y11">
            <v>7</v>
          </cell>
          <cell r="Z11">
            <v>-14.1824985443196</v>
          </cell>
          <cell r="AA11">
            <v>-0.70966125362339505</v>
          </cell>
          <cell r="AB11">
            <v>11.8873961869445</v>
          </cell>
          <cell r="AC11">
            <v>-11.3480017838635</v>
          </cell>
          <cell r="AD11">
            <v>6.7489520258865799E-4</v>
          </cell>
          <cell r="AE11">
            <v>-2.7191536940446097E-4</v>
          </cell>
          <cell r="AF11">
            <v>-4.9498214529502099E-5</v>
          </cell>
          <cell r="AG11">
            <v>7.3177155492311601E-4</v>
          </cell>
          <cell r="AH11">
            <v>2.9440677966101499E-2</v>
          </cell>
          <cell r="AI11">
            <v>-6.4362276692987398E-3</v>
          </cell>
          <cell r="AJ11">
            <v>8.8156648451731004E-2</v>
          </cell>
          <cell r="AK11">
            <v>-3.8923076923076297E-2</v>
          </cell>
          <cell r="AL11">
            <v>-15.575871925409899</v>
          </cell>
          <cell r="AM11">
            <v>15.7014509268155</v>
          </cell>
          <cell r="AN11">
            <v>28.377942939094002</v>
          </cell>
          <cell r="AO11">
            <v>-18.836039087104499</v>
          </cell>
          <cell r="AP11">
            <v>-211.25518360501599</v>
          </cell>
          <cell r="AQ11">
            <v>-65.752579136516204</v>
          </cell>
          <cell r="AR11">
            <v>385.964116598244</v>
          </cell>
          <cell r="AS11">
            <v>152.107664771787</v>
          </cell>
        </row>
        <row r="12">
          <cell r="C12">
            <v>-2.1169598761644499E-3</v>
          </cell>
          <cell r="E12">
            <v>1.2717906196961001E-3</v>
          </cell>
          <cell r="G12">
            <v>-1.0983658621333901E-3</v>
          </cell>
          <cell r="I12">
            <v>-2.4885855246489102E-4</v>
          </cell>
          <cell r="J12">
            <v>1.2818785578747501E-2</v>
          </cell>
          <cell r="K12">
            <v>4.0909090909092199E-2</v>
          </cell>
          <cell r="L12">
            <v>5.3927889713679802E-2</v>
          </cell>
          <cell r="M12">
            <v>-8.43133640553001E-3</v>
          </cell>
          <cell r="N12">
            <v>666.993424683802</v>
          </cell>
          <cell r="O12">
            <v>-66.711776745109802</v>
          </cell>
          <cell r="P12">
            <v>-43.330893334170497</v>
          </cell>
          <cell r="Q12">
            <v>-53.478998556593197</v>
          </cell>
          <cell r="R12">
            <v>4</v>
          </cell>
          <cell r="S12">
            <v>4</v>
          </cell>
          <cell r="T12">
            <v>4</v>
          </cell>
          <cell r="U12">
            <v>5</v>
          </cell>
          <cell r="V12">
            <v>5</v>
          </cell>
          <cell r="W12">
            <v>5</v>
          </cell>
          <cell r="X12">
            <v>5</v>
          </cell>
          <cell r="Y12">
            <v>5</v>
          </cell>
          <cell r="Z12">
            <v>-0.43970850166370201</v>
          </cell>
          <cell r="AA12">
            <v>-8.2623641453070604</v>
          </cell>
          <cell r="AB12">
            <v>145.53930433138299</v>
          </cell>
          <cell r="AC12">
            <v>-178.19010209050199</v>
          </cell>
          <cell r="AD12">
            <v>8.4985713610797101E-4</v>
          </cell>
          <cell r="AE12">
            <v>-1.63564563041711E-3</v>
          </cell>
          <cell r="AF12">
            <v>7.2367774011950999E-4</v>
          </cell>
          <cell r="AG12">
            <v>1.58318096429919E-3</v>
          </cell>
          <cell r="AH12">
            <v>-4.21317633866004E-2</v>
          </cell>
          <cell r="AI12">
            <v>3.2945033751203799E-3</v>
          </cell>
          <cell r="AJ12">
            <v>-2.0322525304499201E-3</v>
          </cell>
          <cell r="AK12">
            <v>-2.5532956685499399E-2</v>
          </cell>
          <cell r="AL12">
            <v>-31.403810044039101</v>
          </cell>
          <cell r="AM12">
            <v>-22.133377034082599</v>
          </cell>
          <cell r="AN12">
            <v>197.07498855182601</v>
          </cell>
          <cell r="AO12">
            <v>-242.18774488279999</v>
          </cell>
          <cell r="AP12">
            <v>-418.71033009975503</v>
          </cell>
          <cell r="AQ12">
            <v>-43.644450427625401</v>
          </cell>
          <cell r="AR12">
            <v>-41.872176423823397</v>
          </cell>
          <cell r="AS12">
            <v>-70.418767451542806</v>
          </cell>
        </row>
        <row r="13">
          <cell r="C13">
            <v>2.1117298608588301E-3</v>
          </cell>
          <cell r="E13">
            <v>3.35369839455799E-3</v>
          </cell>
          <cell r="G13">
            <v>-5.7562789173234996E-4</v>
          </cell>
          <cell r="I13">
            <v>5.1392291638175597E-3</v>
          </cell>
          <cell r="J13">
            <v>4.1346798780488803E-2</v>
          </cell>
          <cell r="K13">
            <v>-9.3080952380952001E-2</v>
          </cell>
          <cell r="L13">
            <v>-5.68045918367346E-2</v>
          </cell>
          <cell r="M13">
            <v>-1.7004288164666301E-2</v>
          </cell>
          <cell r="N13">
            <v>-270.45633863247201</v>
          </cell>
          <cell r="O13">
            <v>16.423536637068501</v>
          </cell>
          <cell r="P13">
            <v>120.853295310231</v>
          </cell>
          <cell r="Q13">
            <v>346.83431656014801</v>
          </cell>
          <cell r="R13">
            <v>6</v>
          </cell>
          <cell r="S13">
            <v>7</v>
          </cell>
          <cell r="T13">
            <v>7</v>
          </cell>
          <cell r="U13">
            <v>5</v>
          </cell>
          <cell r="V13">
            <v>2</v>
          </cell>
          <cell r="W13">
            <v>7</v>
          </cell>
          <cell r="X13">
            <v>7</v>
          </cell>
          <cell r="Y13">
            <v>7</v>
          </cell>
          <cell r="Z13">
            <v>627.85149063594702</v>
          </cell>
          <cell r="AA13">
            <v>-66.261620655267294</v>
          </cell>
          <cell r="AB13">
            <v>28.739273373306901</v>
          </cell>
          <cell r="AC13">
            <v>66.029036577652107</v>
          </cell>
          <cell r="AD13">
            <v>5.6178053334515398E-3</v>
          </cell>
          <cell r="AE13">
            <v>3.8430426737483098E-3</v>
          </cell>
          <cell r="AF13">
            <v>2.7209142836849402E-3</v>
          </cell>
          <cell r="AG13">
            <v>1.0972878608702899E-3</v>
          </cell>
          <cell r="AH13">
            <v>-3.7787301587301397E-2</v>
          </cell>
          <cell r="AI13">
            <v>-9.6431784107945395E-3</v>
          </cell>
          <cell r="AJ13">
            <v>2.75889271371197E-2</v>
          </cell>
          <cell r="AK13">
            <v>3.37948350071648E-3</v>
          </cell>
          <cell r="AL13">
            <v>634.91530606885703</v>
          </cell>
          <cell r="AM13">
            <v>-98.213022835221196</v>
          </cell>
          <cell r="AN13">
            <v>20.748621015918499</v>
          </cell>
          <cell r="AO13">
            <v>102.089209227669</v>
          </cell>
          <cell r="AP13">
            <v>-122.357046017624</v>
          </cell>
          <cell r="AQ13">
            <v>-1.0163399288427499</v>
          </cell>
          <cell r="AR13">
            <v>111.703445517435</v>
          </cell>
          <cell r="AS13">
            <v>262.93823481308698</v>
          </cell>
        </row>
        <row r="14">
          <cell r="C14">
            <v>-5.38138038171602E-5</v>
          </cell>
          <cell r="E14">
            <v>1.3592357409581699E-3</v>
          </cell>
          <cell r="G14">
            <v>-1.9612615091950001E-5</v>
          </cell>
          <cell r="I14">
            <v>4.6929892268061902E-4</v>
          </cell>
          <cell r="J14">
            <v>-1.37968253968261E-2</v>
          </cell>
          <cell r="K14">
            <v>1.7110115236876399E-2</v>
          </cell>
          <cell r="L14">
            <v>1.2846889952147201E-3</v>
          </cell>
          <cell r="M14">
            <v>-7.0391393442623906E-2</v>
          </cell>
          <cell r="N14">
            <v>1.93796884625659</v>
          </cell>
          <cell r="O14">
            <v>-6.3979087283230598</v>
          </cell>
          <cell r="P14">
            <v>20.5866873526994</v>
          </cell>
          <cell r="Q14">
            <v>612.19259475983199</v>
          </cell>
          <cell r="R14">
            <v>6</v>
          </cell>
          <cell r="S14">
            <v>6</v>
          </cell>
          <cell r="T14">
            <v>6</v>
          </cell>
          <cell r="U14">
            <v>6</v>
          </cell>
          <cell r="V14">
            <v>7</v>
          </cell>
          <cell r="W14">
            <v>7</v>
          </cell>
          <cell r="X14">
            <v>7</v>
          </cell>
          <cell r="Y14">
            <v>8</v>
          </cell>
          <cell r="Z14">
            <v>511.82887765345902</v>
          </cell>
          <cell r="AA14">
            <v>-14.903580554351301</v>
          </cell>
          <cell r="AB14">
            <v>-10.0913855301153</v>
          </cell>
          <cell r="AC14">
            <v>-30.345461226940301</v>
          </cell>
          <cell r="AD14">
            <v>-1.8931937873374099E-3</v>
          </cell>
          <cell r="AE14">
            <v>6.5201811430479E-4</v>
          </cell>
          <cell r="AF14">
            <v>5.4989495933051996E-4</v>
          </cell>
          <cell r="AG14">
            <v>3.5433211446829899E-3</v>
          </cell>
          <cell r="AH14">
            <v>4.1357099540870702E-3</v>
          </cell>
          <cell r="AI14">
            <v>-6.67468671679185E-2</v>
          </cell>
          <cell r="AJ14">
            <v>-2.1863354037266702E-2</v>
          </cell>
          <cell r="AK14">
            <v>-2.7311111111110401E-2</v>
          </cell>
          <cell r="AL14">
            <v>518.03571305461196</v>
          </cell>
          <cell r="AM14">
            <v>-26.2480422401892</v>
          </cell>
          <cell r="AN14">
            <v>21.077605431633899</v>
          </cell>
          <cell r="AO14">
            <v>-41.247403754579999</v>
          </cell>
          <cell r="AP14">
            <v>-10.6170893393704</v>
          </cell>
          <cell r="AQ14">
            <v>0.72756012731004205</v>
          </cell>
          <cell r="AR14">
            <v>28.680841156726</v>
          </cell>
          <cell r="AS14">
            <v>304.94432725985598</v>
          </cell>
        </row>
        <row r="15">
          <cell r="C15">
            <v>-5.0446581336520901E-4</v>
          </cell>
          <cell r="E15">
            <v>-1.4396657656115799E-3</v>
          </cell>
          <cell r="G15">
            <v>-1.0216300525005999E-3</v>
          </cell>
          <cell r="I15">
            <v>-2.5046244502330701E-4</v>
          </cell>
          <cell r="J15">
            <v>-5.0681818181818102E-3</v>
          </cell>
          <cell r="K15">
            <v>-4.9291236591782299E-2</v>
          </cell>
          <cell r="L15">
            <v>-5.2661361626885599E-3</v>
          </cell>
          <cell r="M15">
            <v>3.0163852407754901E-2</v>
          </cell>
          <cell r="N15">
            <v>17.389117927448901</v>
          </cell>
          <cell r="O15">
            <v>-52.963817690667902</v>
          </cell>
          <cell r="P15">
            <v>-116.04315708788199</v>
          </cell>
          <cell r="Q15">
            <v>-24.851015129931898</v>
          </cell>
          <cell r="R15">
            <v>5</v>
          </cell>
          <cell r="S15">
            <v>7</v>
          </cell>
          <cell r="T15">
            <v>7</v>
          </cell>
          <cell r="U15">
            <v>7</v>
          </cell>
          <cell r="V15">
            <v>7</v>
          </cell>
          <cell r="W15">
            <v>6</v>
          </cell>
          <cell r="X15">
            <v>6</v>
          </cell>
          <cell r="Y15">
            <v>7</v>
          </cell>
          <cell r="Z15">
            <v>-51.757841476892096</v>
          </cell>
          <cell r="AA15">
            <v>1.39403373576381</v>
          </cell>
          <cell r="AB15">
            <v>-153.02879081500001</v>
          </cell>
          <cell r="AC15">
            <v>-6.76305024745115</v>
          </cell>
          <cell r="AD15">
            <v>-2.1415216934825201E-2</v>
          </cell>
          <cell r="AE15">
            <v>3.49961071831402E-3</v>
          </cell>
          <cell r="AF15">
            <v>-0.54650992042466096</v>
          </cell>
          <cell r="AG15">
            <v>-8.55011461279431E-5</v>
          </cell>
          <cell r="AH15">
            <v>-4.4760312151616098E-2</v>
          </cell>
          <cell r="AI15">
            <v>8.7195555555556498E-2</v>
          </cell>
          <cell r="AJ15">
            <v>0.153915662650602</v>
          </cell>
          <cell r="AK15">
            <v>-1.7895109395108799E-2</v>
          </cell>
          <cell r="AL15">
            <v>-40.601086418870402</v>
          </cell>
          <cell r="AM15">
            <v>3.3202569448688601</v>
          </cell>
          <cell r="AN15">
            <v>-151.41256391298401</v>
          </cell>
          <cell r="AO15">
            <v>5.7439554156671404</v>
          </cell>
          <cell r="AP15">
            <v>-12.7317086505823</v>
          </cell>
          <cell r="AQ15">
            <v>-12.7145713501454</v>
          </cell>
          <cell r="AR15">
            <v>-68.651115237110602</v>
          </cell>
          <cell r="AS15">
            <v>-18.159006977645699</v>
          </cell>
        </row>
        <row r="16">
          <cell r="C16">
            <v>2.1248523610334002E-3</v>
          </cell>
          <cell r="E16">
            <v>-1.08922403660911E-4</v>
          </cell>
          <cell r="G16">
            <v>-1.0785648726197999E-3</v>
          </cell>
          <cell r="I16">
            <v>4.1143720633559001E-4</v>
          </cell>
          <cell r="J16">
            <v>-0.104845763164929</v>
          </cell>
          <cell r="K16">
            <v>-3.60647391577626E-2</v>
          </cell>
          <cell r="L16">
            <v>-3.77136363636369E-2</v>
          </cell>
          <cell r="M16">
            <v>4.91777777777773E-2</v>
          </cell>
          <cell r="N16">
            <v>-20.9567487814689</v>
          </cell>
          <cell r="O16">
            <v>-18.185650596142299</v>
          </cell>
          <cell r="P16">
            <v>-34.433507105479499</v>
          </cell>
          <cell r="Q16">
            <v>37.029782780666402</v>
          </cell>
          <cell r="R16">
            <v>7</v>
          </cell>
          <cell r="S16">
            <v>6</v>
          </cell>
          <cell r="T16">
            <v>6</v>
          </cell>
          <cell r="U16">
            <v>6</v>
          </cell>
          <cell r="V16">
            <v>7</v>
          </cell>
          <cell r="W16">
            <v>7</v>
          </cell>
          <cell r="X16">
            <v>7</v>
          </cell>
          <cell r="Y16">
            <v>7</v>
          </cell>
          <cell r="Z16">
            <v>40.939464730457502</v>
          </cell>
          <cell r="AA16">
            <v>-12.0024793356278</v>
          </cell>
          <cell r="AB16">
            <v>-19.07671167102</v>
          </cell>
          <cell r="AC16">
            <v>-29.749545855942099</v>
          </cell>
          <cell r="AD16">
            <v>2.9736385283197402E-3</v>
          </cell>
          <cell r="AE16">
            <v>-3.4718556822954903E-2</v>
          </cell>
          <cell r="AF16">
            <v>2.3063780199487102E-3</v>
          </cell>
          <cell r="AG16">
            <v>-1.9890335961733501E-3</v>
          </cell>
          <cell r="AH16">
            <v>4.7537799972251502E-3</v>
          </cell>
          <cell r="AI16">
            <v>-9.9224711907809196E-2</v>
          </cell>
          <cell r="AJ16">
            <v>-2.62711706102111E-2</v>
          </cell>
          <cell r="AK16">
            <v>-4.2646844027126103E-2</v>
          </cell>
          <cell r="AL16">
            <v>-0.74040212260850802</v>
          </cell>
          <cell r="AM16">
            <v>12.5156756332829</v>
          </cell>
          <cell r="AN16">
            <v>-6.5531154000085197</v>
          </cell>
          <cell r="AO16">
            <v>10.656681866420699</v>
          </cell>
          <cell r="AP16">
            <v>-13.288646980052601</v>
          </cell>
          <cell r="AQ16">
            <v>-27.3666751422613</v>
          </cell>
          <cell r="AR16">
            <v>-33.402286379982002</v>
          </cell>
          <cell r="AS16">
            <v>-6.5117587672381898</v>
          </cell>
        </row>
        <row r="17">
          <cell r="C17">
            <v>3.34479199375375E-3</v>
          </cell>
          <cell r="E17">
            <v>1.9146120717684399E-3</v>
          </cell>
          <cell r="G17">
            <v>6.0563077675614E-4</v>
          </cell>
          <cell r="I17">
            <v>-2.5792177259411899E-3</v>
          </cell>
          <cell r="J17">
            <v>-1.12638580931261E-2</v>
          </cell>
          <cell r="K17">
            <v>-4.2765517241379801E-2</v>
          </cell>
          <cell r="L17">
            <v>-4.2823811974619904E-3</v>
          </cell>
          <cell r="M17">
            <v>6.1499999999999E-2</v>
          </cell>
          <cell r="N17">
            <v>19.3150244707494</v>
          </cell>
          <cell r="O17">
            <v>262.01476246178902</v>
          </cell>
          <cell r="P17">
            <v>-3.5427852236907101E-2</v>
          </cell>
          <cell r="Q17">
            <v>-771.636998020997</v>
          </cell>
          <cell r="R17">
            <v>4</v>
          </cell>
          <cell r="S17">
            <v>6</v>
          </cell>
          <cell r="T17">
            <v>5</v>
          </cell>
          <cell r="U17">
            <v>5</v>
          </cell>
          <cell r="V17">
            <v>5</v>
          </cell>
          <cell r="W17">
            <v>5</v>
          </cell>
          <cell r="X17">
            <v>6</v>
          </cell>
          <cell r="Y17">
            <v>6</v>
          </cell>
          <cell r="Z17">
            <v>-12.7976518300968</v>
          </cell>
          <cell r="AA17">
            <v>-8.17120719540954</v>
          </cell>
          <cell r="AB17">
            <v>12.2294349709024</v>
          </cell>
          <cell r="AC17">
            <v>10.4122953080934</v>
          </cell>
          <cell r="AD17">
            <v>-1.3538428525633999E-3</v>
          </cell>
          <cell r="AE17">
            <v>-2.1480736063129099E-4</v>
          </cell>
          <cell r="AF17">
            <v>3.6408609090872101E-3</v>
          </cell>
          <cell r="AG17">
            <v>1.47937045085958E-3</v>
          </cell>
          <cell r="AH17">
            <v>4.6070813771518601E-2</v>
          </cell>
          <cell r="AI17">
            <v>6.3217310087173101E-2</v>
          </cell>
          <cell r="AJ17">
            <v>4.7329597701148501E-2</v>
          </cell>
          <cell r="AK17">
            <v>4.3639325842697002E-2</v>
          </cell>
          <cell r="AL17">
            <v>7.2020831216508796</v>
          </cell>
          <cell r="AM17">
            <v>-4.5337542393569201</v>
          </cell>
          <cell r="AN17">
            <v>-2.6354356851012501</v>
          </cell>
          <cell r="AO17">
            <v>-1.31328128607707</v>
          </cell>
          <cell r="AP17">
            <v>-2.4574218590350601</v>
          </cell>
          <cell r="AQ17">
            <v>212.519746146297</v>
          </cell>
          <cell r="AR17">
            <v>-9.2830293085165501</v>
          </cell>
          <cell r="AS17">
            <v>-517.32573050920496</v>
          </cell>
        </row>
        <row r="18">
          <cell r="C18">
            <v>3.6951948754316302E-4</v>
          </cell>
          <cell r="E18">
            <v>-2.3852770119484699E-3</v>
          </cell>
          <cell r="G18">
            <v>-3.2045702836679298E-4</v>
          </cell>
          <cell r="I18">
            <v>2.14531138748252E-3</v>
          </cell>
          <cell r="J18">
            <v>-4.9587589376914001E-2</v>
          </cell>
          <cell r="K18">
            <v>-3.1522388059701902E-2</v>
          </cell>
          <cell r="L18">
            <v>-2.3558510638297898E-2</v>
          </cell>
          <cell r="M18">
            <v>2.19194235178512E-2</v>
          </cell>
          <cell r="N18">
            <v>119.61138557122</v>
          </cell>
          <cell r="O18">
            <v>538.54073518796099</v>
          </cell>
          <cell r="P18">
            <v>141.81290036055299</v>
          </cell>
          <cell r="Q18">
            <v>91.747769432238997</v>
          </cell>
          <cell r="R18">
            <v>5</v>
          </cell>
          <cell r="S18">
            <v>6</v>
          </cell>
          <cell r="T18">
            <v>5</v>
          </cell>
          <cell r="U18">
            <v>6</v>
          </cell>
          <cell r="V18">
            <v>6</v>
          </cell>
          <cell r="W18">
            <v>7</v>
          </cell>
          <cell r="X18">
            <v>6</v>
          </cell>
          <cell r="Y18">
            <v>7</v>
          </cell>
          <cell r="Z18">
            <v>58.448185654653102</v>
          </cell>
          <cell r="AA18">
            <v>-92.416487639035196</v>
          </cell>
          <cell r="AB18">
            <v>8.8815838874422202</v>
          </cell>
          <cell r="AC18">
            <v>-20.624477788635399</v>
          </cell>
          <cell r="AD18">
            <v>-3.1359885170111101E-4</v>
          </cell>
          <cell r="AE18">
            <v>-2.9080173435782703E-4</v>
          </cell>
          <cell r="AF18">
            <v>1.9276072831897299E-4</v>
          </cell>
          <cell r="AG18">
            <v>1.0098080454294299E-5</v>
          </cell>
          <cell r="AH18">
            <v>-5.9212017434620103E-2</v>
          </cell>
          <cell r="AI18">
            <v>7.9743181818181699E-2</v>
          </cell>
          <cell r="AJ18">
            <v>-1.7284374162422698E-2</v>
          </cell>
          <cell r="AK18">
            <v>-3.8027777777778E-2</v>
          </cell>
          <cell r="AL18">
            <v>-163.51091402260101</v>
          </cell>
          <cell r="AM18">
            <v>4.0171615381227097</v>
          </cell>
          <cell r="AN18">
            <v>64.2656772998413</v>
          </cell>
          <cell r="AO18">
            <v>-96.687984539598602</v>
          </cell>
          <cell r="AP18">
            <v>62.416262106936998</v>
          </cell>
          <cell r="AQ18">
            <v>393.21522961625999</v>
          </cell>
          <cell r="AR18">
            <v>105.41906790664299</v>
          </cell>
          <cell r="AS18">
            <v>19.274631591166798</v>
          </cell>
        </row>
        <row r="19">
          <cell r="C19">
            <v>1.0667375537721E-4</v>
          </cell>
          <cell r="E19">
            <v>-3.1590372028315899E-4</v>
          </cell>
          <cell r="G19">
            <v>8.6612512379654998E-4</v>
          </cell>
          <cell r="I19">
            <v>1.1256715598284999E-3</v>
          </cell>
          <cell r="J19">
            <v>6.1130283574102599E-2</v>
          </cell>
          <cell r="K19">
            <v>2.04761904761891E-2</v>
          </cell>
          <cell r="L19">
            <v>-5.8301724137932699E-2</v>
          </cell>
          <cell r="M19">
            <v>-1.79013544594929E-2</v>
          </cell>
          <cell r="N19">
            <v>-199.866001930024</v>
          </cell>
          <cell r="O19">
            <v>55.911364344817301</v>
          </cell>
          <cell r="P19">
            <v>32.741698344591804</v>
          </cell>
          <cell r="Q19">
            <v>-493.68483295085599</v>
          </cell>
          <cell r="R19">
            <v>7</v>
          </cell>
          <cell r="S19">
            <v>7</v>
          </cell>
          <cell r="T19">
            <v>3</v>
          </cell>
          <cell r="U19">
            <v>7</v>
          </cell>
          <cell r="V19">
            <v>2</v>
          </cell>
          <cell r="W19">
            <v>7</v>
          </cell>
          <cell r="X19">
            <v>7</v>
          </cell>
          <cell r="Y19">
            <v>7</v>
          </cell>
          <cell r="Z19">
            <v>618.83762005876804</v>
          </cell>
          <cell r="AA19">
            <v>-107.53701460121199</v>
          </cell>
          <cell r="AB19">
            <v>85.682531660373996</v>
          </cell>
          <cell r="AC19">
            <v>-64.835491568357895</v>
          </cell>
          <cell r="AD19">
            <v>4.8130560571841901E-4</v>
          </cell>
          <cell r="AE19">
            <v>1.5071734539359701E-3</v>
          </cell>
          <cell r="AF19">
            <v>3.4127089094569498E-3</v>
          </cell>
          <cell r="AG19">
            <v>4.4553024891958099E-4</v>
          </cell>
          <cell r="AH19">
            <v>-6.5588679245282694E-2</v>
          </cell>
          <cell r="AI19">
            <v>8.9202435312024306E-2</v>
          </cell>
          <cell r="AJ19">
            <v>4.6713396659024103E-2</v>
          </cell>
          <cell r="AK19">
            <v>3.8114258585218302E-2</v>
          </cell>
          <cell r="AL19">
            <v>1015.71912127976</v>
          </cell>
          <cell r="AM19">
            <v>-92.211361222726197</v>
          </cell>
          <cell r="AN19">
            <v>160.37722195071399</v>
          </cell>
          <cell r="AO19">
            <v>-98.335242432889103</v>
          </cell>
          <cell r="AP19">
            <v>-164.03394180446401</v>
          </cell>
          <cell r="AQ19">
            <v>51.693546106727098</v>
          </cell>
          <cell r="AR19">
            <v>-64.540395031487506</v>
          </cell>
          <cell r="AS19">
            <v>-371.72563135506402</v>
          </cell>
        </row>
        <row r="20">
          <cell r="C20">
            <v>4.8043852866032797E-3</v>
          </cell>
          <cell r="E20">
            <v>-1.3988257833094299E-3</v>
          </cell>
          <cell r="G20">
            <v>-7.9222523988399906E-5</v>
          </cell>
          <cell r="I20">
            <v>-2.55340446866343E-2</v>
          </cell>
          <cell r="J20">
            <v>-1.2929411764705899E-2</v>
          </cell>
          <cell r="K20">
            <v>6.8691544117647094E-2</v>
          </cell>
          <cell r="L20">
            <v>-7.5568181818181507E-2</v>
          </cell>
          <cell r="M20">
            <v>-2.51537051584181E-2</v>
          </cell>
          <cell r="N20">
            <v>444.345307750176</v>
          </cell>
          <cell r="O20">
            <v>-266.66450882129101</v>
          </cell>
          <cell r="P20">
            <v>19.631735326338301</v>
          </cell>
          <cell r="Q20">
            <v>-157.45241820943801</v>
          </cell>
          <cell r="R20">
            <v>3</v>
          </cell>
          <cell r="S20">
            <v>5</v>
          </cell>
          <cell r="T20">
            <v>6</v>
          </cell>
          <cell r="U20">
            <v>6</v>
          </cell>
          <cell r="V20">
            <v>6</v>
          </cell>
          <cell r="W20">
            <v>2</v>
          </cell>
          <cell r="X20">
            <v>2</v>
          </cell>
          <cell r="Y20">
            <v>7</v>
          </cell>
          <cell r="Z20">
            <v>-336.11531652127599</v>
          </cell>
          <cell r="AA20">
            <v>113.243608865102</v>
          </cell>
          <cell r="AB20">
            <v>-12.0375877748692</v>
          </cell>
          <cell r="AC20">
            <v>33.603666613745098</v>
          </cell>
          <cell r="AD20">
            <v>-4.9106403634188202E-3</v>
          </cell>
          <cell r="AE20">
            <v>8.1983503293405098E-3</v>
          </cell>
          <cell r="AF20">
            <v>1.29128155149892E-2</v>
          </cell>
          <cell r="AG20">
            <v>2.73879311810121E-3</v>
          </cell>
          <cell r="AH20">
            <v>2.4859577922076999E-2</v>
          </cell>
          <cell r="AI20">
            <v>7.68336964415328E-3</v>
          </cell>
          <cell r="AJ20">
            <v>9.9875874125874106E-2</v>
          </cell>
          <cell r="AK20">
            <v>1.9684556407448799E-2</v>
          </cell>
          <cell r="AL20">
            <v>-485.48378793005401</v>
          </cell>
          <cell r="AM20">
            <v>160.01135098255099</v>
          </cell>
          <cell r="AN20">
            <v>-85.742591601354505</v>
          </cell>
          <cell r="AO20">
            <v>62.2171677598309</v>
          </cell>
          <cell r="AP20">
            <v>487.09883137106499</v>
          </cell>
          <cell r="AQ20">
            <v>-205.116076684896</v>
          </cell>
          <cell r="AR20">
            <v>-7.87366421604401</v>
          </cell>
          <cell r="AS20">
            <v>-146.38632254610201</v>
          </cell>
        </row>
        <row r="21">
          <cell r="C21">
            <v>1.5539989058883199E-2</v>
          </cell>
          <cell r="E21">
            <v>-1.7648994813242301E-2</v>
          </cell>
          <cell r="G21">
            <v>-6.7502543888354203E-3</v>
          </cell>
          <cell r="I21">
            <v>3.0526152065835899E-3</v>
          </cell>
          <cell r="J21">
            <v>3.5100775193798901E-2</v>
          </cell>
          <cell r="K21">
            <v>-8.0279115479113997E-2</v>
          </cell>
          <cell r="L21">
            <v>-7.7606949806949904E-2</v>
          </cell>
          <cell r="M21">
            <v>-2.6171211160431199E-2</v>
          </cell>
          <cell r="N21">
            <v>28.394996195216599</v>
          </cell>
          <cell r="O21">
            <v>-34.765600439671999</v>
          </cell>
          <cell r="P21">
            <v>-4.6480339609233896</v>
          </cell>
          <cell r="Q21">
            <v>-72.195333787737795</v>
          </cell>
          <cell r="R21">
            <v>7</v>
          </cell>
          <cell r="S21">
            <v>7</v>
          </cell>
          <cell r="T21">
            <v>6</v>
          </cell>
          <cell r="U21">
            <v>7</v>
          </cell>
          <cell r="V21">
            <v>6</v>
          </cell>
          <cell r="W21">
            <v>7</v>
          </cell>
          <cell r="X21">
            <v>7</v>
          </cell>
          <cell r="Y21">
            <v>7</v>
          </cell>
          <cell r="Z21">
            <v>-37.884082734204803</v>
          </cell>
          <cell r="AA21">
            <v>-27.2213572225271</v>
          </cell>
          <cell r="AB21">
            <v>-132.326737895451</v>
          </cell>
          <cell r="AC21">
            <v>-59.4961843001144</v>
          </cell>
          <cell r="AD21">
            <v>-5.2547953638311402E-3</v>
          </cell>
          <cell r="AE21">
            <v>-1.3592692904894999E-2</v>
          </cell>
          <cell r="AF21">
            <v>-1.7226015013429199E-2</v>
          </cell>
          <cell r="AG21">
            <v>5.1805763901485004E-3</v>
          </cell>
          <cell r="AH21">
            <v>-4.9115012106536897E-2</v>
          </cell>
          <cell r="AI21">
            <v>8.0405797101448004E-2</v>
          </cell>
          <cell r="AJ21">
            <v>-1.6741155660377999E-2</v>
          </cell>
          <cell r="AK21">
            <v>-4.0878004035956303E-2</v>
          </cell>
          <cell r="AL21">
            <v>17.894133116751199</v>
          </cell>
          <cell r="AM21">
            <v>-47.053493411824697</v>
          </cell>
          <cell r="AN21">
            <v>-185.662825225202</v>
          </cell>
          <cell r="AO21">
            <v>-78.429497874589103</v>
          </cell>
          <cell r="AP21">
            <v>8.2338168795898206</v>
          </cell>
          <cell r="AQ21">
            <v>-10.8406685415986</v>
          </cell>
          <cell r="AR21">
            <v>4.1112205579645797</v>
          </cell>
          <cell r="AS21">
            <v>-49.0691554677299</v>
          </cell>
        </row>
        <row r="22">
          <cell r="C22">
            <v>3.0073267347888E-3</v>
          </cell>
          <cell r="E22">
            <v>8.7046558156017096E-4</v>
          </cell>
          <cell r="G22">
            <v>9.36666979909731E-4</v>
          </cell>
          <cell r="I22">
            <v>8.7675457310652999E-4</v>
          </cell>
          <cell r="J22">
            <v>0.166591657688164</v>
          </cell>
          <cell r="K22">
            <v>1.35041050903114E-2</v>
          </cell>
          <cell r="L22">
            <v>-8.7951598962834297E-3</v>
          </cell>
          <cell r="M22">
            <v>-5.5402928672651001E-2</v>
          </cell>
          <cell r="N22">
            <v>371.28971523931801</v>
          </cell>
          <cell r="O22">
            <v>-11.112135404683499</v>
          </cell>
          <cell r="P22">
            <v>15.853720105529201</v>
          </cell>
          <cell r="Q22">
            <v>25.6236144163672</v>
          </cell>
          <cell r="R22">
            <v>7</v>
          </cell>
          <cell r="S22">
            <v>7</v>
          </cell>
          <cell r="T22">
            <v>7</v>
          </cell>
          <cell r="U22">
            <v>7</v>
          </cell>
          <cell r="V22">
            <v>8</v>
          </cell>
          <cell r="W22">
            <v>8</v>
          </cell>
          <cell r="X22">
            <v>8</v>
          </cell>
          <cell r="Y22">
            <v>8</v>
          </cell>
          <cell r="Z22">
            <v>-309.97458588699999</v>
          </cell>
          <cell r="AA22">
            <v>0.45932550151807999</v>
          </cell>
          <cell r="AB22">
            <v>24.324470465973899</v>
          </cell>
          <cell r="AC22">
            <v>14.9810368206336</v>
          </cell>
          <cell r="AD22">
            <v>-9.6779800243155904E-4</v>
          </cell>
          <cell r="AE22">
            <v>2.2381999163063201E-3</v>
          </cell>
          <cell r="AF22">
            <v>7.1015963622640004E-4</v>
          </cell>
          <cell r="AG22">
            <v>1.7633600232435001E-3</v>
          </cell>
          <cell r="AH22">
            <v>2.5142309167627198E-2</v>
          </cell>
          <cell r="AI22">
            <v>1.6052631578946E-2</v>
          </cell>
          <cell r="AJ22">
            <v>-2.4476190476189399E-2</v>
          </cell>
          <cell r="AK22">
            <v>-3.3320310077520197E-2</v>
          </cell>
          <cell r="AL22">
            <v>-492.54108133460699</v>
          </cell>
          <cell r="AM22">
            <v>-35.582649657675802</v>
          </cell>
          <cell r="AN22">
            <v>23.852343612134501</v>
          </cell>
          <cell r="AO22">
            <v>4.3100908353335603</v>
          </cell>
          <cell r="AP22">
            <v>266.010311784311</v>
          </cell>
          <cell r="AQ22">
            <v>-3.0104943911220801</v>
          </cell>
          <cell r="AR22">
            <v>3.6985313724165998</v>
          </cell>
          <cell r="AS22">
            <v>15.0552518046145</v>
          </cell>
        </row>
        <row r="23">
          <cell r="C23">
            <v>1.2171544440456299E-3</v>
          </cell>
          <cell r="E23">
            <v>2.5211443676034198E-3</v>
          </cell>
          <cell r="G23">
            <v>2.0282119439466E-3</v>
          </cell>
          <cell r="I23">
            <v>2.3585963601444799E-3</v>
          </cell>
          <cell r="J23">
            <v>7.3860386879731094E-2</v>
          </cell>
          <cell r="K23">
            <v>-1.27984665936482E-2</v>
          </cell>
          <cell r="L23">
            <v>8.6540978189027604E-2</v>
          </cell>
          <cell r="M23">
            <v>3.7713077620053603E-2</v>
          </cell>
          <cell r="N23">
            <v>408.41248965216499</v>
          </cell>
          <cell r="O23">
            <v>-240.26950669079201</v>
          </cell>
          <cell r="P23">
            <v>-9.5157248986738505</v>
          </cell>
          <cell r="Q23">
            <v>1.5863407608761499</v>
          </cell>
          <cell r="R23">
            <v>4</v>
          </cell>
          <cell r="S23">
            <v>7</v>
          </cell>
          <cell r="T23">
            <v>7</v>
          </cell>
          <cell r="U23">
            <v>6</v>
          </cell>
          <cell r="V23">
            <v>8</v>
          </cell>
          <cell r="W23">
            <v>8</v>
          </cell>
          <cell r="X23">
            <v>8</v>
          </cell>
          <cell r="Y23">
            <v>8</v>
          </cell>
          <cell r="Z23">
            <v>-45.883022206642501</v>
          </cell>
          <cell r="AA23">
            <v>-191.12918501399</v>
          </cell>
          <cell r="AB23">
            <v>-42.041832178580897</v>
          </cell>
          <cell r="AC23">
            <v>-14.7440908199827</v>
          </cell>
          <cell r="AD23">
            <v>1.89519703328849E-3</v>
          </cell>
          <cell r="AE23">
            <v>7.2886373138949696E-3</v>
          </cell>
          <cell r="AF23">
            <v>3.4029738051790399E-3</v>
          </cell>
          <cell r="AG23">
            <v>-6.5318685255722399E-3</v>
          </cell>
          <cell r="AH23">
            <v>-3.1385399892646999E-2</v>
          </cell>
          <cell r="AI23">
            <v>-3.0372919334187301E-2</v>
          </cell>
          <cell r="AJ23">
            <v>9.6375091575076101E-3</v>
          </cell>
          <cell r="AK23">
            <v>-4.3702754036087803E-2</v>
          </cell>
          <cell r="AL23">
            <v>-66.840815789216606</v>
          </cell>
          <cell r="AM23">
            <v>-350.57201156697801</v>
          </cell>
          <cell r="AN23">
            <v>-58.1489584549361</v>
          </cell>
          <cell r="AO23">
            <v>-36.407565539374801</v>
          </cell>
          <cell r="AP23">
            <v>246.56557100413201</v>
          </cell>
          <cell r="AQ23">
            <v>-196.234985567172</v>
          </cell>
          <cell r="AR23">
            <v>-16.659807781222</v>
          </cell>
          <cell r="AS23">
            <v>-6.9053799841162498</v>
          </cell>
        </row>
        <row r="24">
          <cell r="C24">
            <v>1.51971738947418E-3</v>
          </cell>
          <cell r="E24">
            <v>2.120426341299E-4</v>
          </cell>
          <cell r="G24">
            <v>-2.6433263407079698E-2</v>
          </cell>
          <cell r="I24">
            <v>2.7236696391600898E-4</v>
          </cell>
          <cell r="J24">
            <v>8.8651321398117693E-3</v>
          </cell>
          <cell r="K24">
            <v>-8.5231264367817305E-2</v>
          </cell>
          <cell r="L24">
            <v>-0.51999999999999902</v>
          </cell>
          <cell r="M24">
            <v>-1.21237693389636E-3</v>
          </cell>
          <cell r="N24">
            <v>-33.146739899819103</v>
          </cell>
          <cell r="O24">
            <v>-3.24824162159485</v>
          </cell>
          <cell r="P24">
            <v>-70.560468117898694</v>
          </cell>
          <cell r="Q24">
            <v>-3.1565775744537401</v>
          </cell>
          <cell r="R24">
            <v>5</v>
          </cell>
          <cell r="S24">
            <v>7</v>
          </cell>
          <cell r="T24">
            <v>0</v>
          </cell>
          <cell r="U24">
            <v>7</v>
          </cell>
          <cell r="V24">
            <v>7</v>
          </cell>
          <cell r="W24">
            <v>7</v>
          </cell>
          <cell r="X24">
            <v>5</v>
          </cell>
          <cell r="Y24">
            <v>7</v>
          </cell>
          <cell r="Z24">
            <v>3.96033629077108</v>
          </cell>
          <cell r="AA24">
            <v>12.6375546123693</v>
          </cell>
          <cell r="AB24">
            <v>5.5005828714374996</v>
          </cell>
          <cell r="AC24">
            <v>-8.3280049805573402</v>
          </cell>
          <cell r="AD24">
            <v>-1.31212340107291E-3</v>
          </cell>
          <cell r="AE24">
            <v>-3.5834943350980799E-3</v>
          </cell>
          <cell r="AF24">
            <v>1.1225713696064801</v>
          </cell>
          <cell r="AG24">
            <v>-1.6448969522368101E-4</v>
          </cell>
          <cell r="AH24">
            <v>3.2392673992674301E-2</v>
          </cell>
          <cell r="AI24">
            <v>-5.15569620253171E-2</v>
          </cell>
          <cell r="AJ24">
            <v>-0.27325000000000099</v>
          </cell>
          <cell r="AK24">
            <v>-1.56290297937377E-2</v>
          </cell>
          <cell r="AL24">
            <v>5.4939597794293604</v>
          </cell>
          <cell r="AM24">
            <v>2.0416108034847098</v>
          </cell>
          <cell r="AN24">
            <v>21.157482842157201</v>
          </cell>
          <cell r="AO24">
            <v>-22.531161356592101</v>
          </cell>
          <cell r="AP24">
            <v>-14.486488601308301</v>
          </cell>
          <cell r="AQ24">
            <v>-0.83847397777049104</v>
          </cell>
          <cell r="AR24">
            <v>-62.702686017302199</v>
          </cell>
          <cell r="AS24">
            <v>-5.2876259187517096</v>
          </cell>
        </row>
        <row r="25">
          <cell r="C25">
            <v>1.0551076194281199E-3</v>
          </cell>
          <cell r="E25">
            <v>4.5099007956112002E-4</v>
          </cell>
          <cell r="G25">
            <v>-4.5616991638083003E-4</v>
          </cell>
          <cell r="I25">
            <v>1.78407339783153E-3</v>
          </cell>
          <cell r="J25">
            <v>0.107161278735632</v>
          </cell>
          <cell r="K25">
            <v>-5.4408333333332497E-2</v>
          </cell>
          <cell r="L25">
            <v>-5.6985347985347698E-2</v>
          </cell>
          <cell r="M25">
            <v>-3.9884615384615602E-2</v>
          </cell>
          <cell r="N25">
            <v>-141.54643739562499</v>
          </cell>
          <cell r="O25">
            <v>-66.740369515585698</v>
          </cell>
          <cell r="P25">
            <v>-326.00755414571302</v>
          </cell>
          <cell r="Q25">
            <v>270.32721769227402</v>
          </cell>
          <cell r="R25">
            <v>6</v>
          </cell>
          <cell r="S25">
            <v>6</v>
          </cell>
          <cell r="T25">
            <v>6</v>
          </cell>
          <cell r="U25">
            <v>6</v>
          </cell>
          <cell r="V25">
            <v>7</v>
          </cell>
          <cell r="W25">
            <v>7</v>
          </cell>
          <cell r="X25">
            <v>7</v>
          </cell>
          <cell r="Y25">
            <v>3</v>
          </cell>
          <cell r="Z25">
            <v>-14.9594399959611</v>
          </cell>
          <cell r="AA25">
            <v>-189.16690698623901</v>
          </cell>
          <cell r="AB25">
            <v>-290.63858600597302</v>
          </cell>
          <cell r="AC25">
            <v>183.44957889892501</v>
          </cell>
          <cell r="AD25">
            <v>-2.1049545680975001E-3</v>
          </cell>
          <cell r="AE25">
            <v>3.1981795799777999E-3</v>
          </cell>
          <cell r="AF25">
            <v>3.4271209947878101E-4</v>
          </cell>
          <cell r="AG25">
            <v>8.7852469244782997E-4</v>
          </cell>
          <cell r="AH25">
            <v>1.55727472527484E-2</v>
          </cell>
          <cell r="AI25">
            <v>1.7475935828875799E-2</v>
          </cell>
          <cell r="AJ25">
            <v>9.2148467432950798E-2</v>
          </cell>
          <cell r="AK25">
            <v>-2.5303119868637002E-2</v>
          </cell>
          <cell r="AL25">
            <v>4.6323966456879999</v>
          </cell>
          <cell r="AM25">
            <v>-274.33046888713</v>
          </cell>
          <cell r="AN25">
            <v>-472.01142074552303</v>
          </cell>
          <cell r="AO25">
            <v>273.670728542191</v>
          </cell>
          <cell r="AP25">
            <v>-107.533101719275</v>
          </cell>
          <cell r="AQ25">
            <v>-43.456601649167702</v>
          </cell>
          <cell r="AR25">
            <v>-356.92377585876397</v>
          </cell>
          <cell r="AS25">
            <v>161.990850115385</v>
          </cell>
        </row>
        <row r="26">
          <cell r="C26">
            <v>1.3069268218788901E-4</v>
          </cell>
          <cell r="E26">
            <v>-3.55379922236391E-4</v>
          </cell>
          <cell r="G26">
            <v>-6.0252779195599097E-4</v>
          </cell>
          <cell r="I26">
            <v>2.8048833978977001E-4</v>
          </cell>
          <cell r="J26">
            <v>2.44497967785645E-2</v>
          </cell>
          <cell r="K26">
            <v>-7.0438795986623198E-2</v>
          </cell>
          <cell r="L26">
            <v>9.0486111111111295E-2</v>
          </cell>
          <cell r="M26">
            <v>-1.8792756539234699E-2</v>
          </cell>
          <cell r="N26">
            <v>-37.781623606114401</v>
          </cell>
          <cell r="O26">
            <v>263.59610342958803</v>
          </cell>
          <cell r="P26">
            <v>39.548057196546303</v>
          </cell>
          <cell r="Q26">
            <v>42.767811404890402</v>
          </cell>
          <cell r="R26">
            <v>6</v>
          </cell>
          <cell r="S26">
            <v>6</v>
          </cell>
          <cell r="T26">
            <v>6</v>
          </cell>
          <cell r="U26">
            <v>6</v>
          </cell>
          <cell r="V26">
            <v>5</v>
          </cell>
          <cell r="W26">
            <v>8</v>
          </cell>
          <cell r="X26">
            <v>8</v>
          </cell>
          <cell r="Y26">
            <v>8</v>
          </cell>
          <cell r="Z26">
            <v>-57.302572646353298</v>
          </cell>
          <cell r="AA26">
            <v>295.41321701908498</v>
          </cell>
          <cell r="AB26">
            <v>-36.509614283644801</v>
          </cell>
          <cell r="AC26">
            <v>-388.90872965260098</v>
          </cell>
          <cell r="AD26">
            <v>-3.8638713187323002E-3</v>
          </cell>
          <cell r="AE26">
            <v>-2.9074390710238001E-3</v>
          </cell>
          <cell r="AF26">
            <v>-2.0145733982845598E-3</v>
          </cell>
          <cell r="AG26">
            <v>-1.1536732489416001E-4</v>
          </cell>
          <cell r="AH26">
            <v>-9.2141176470594797E-3</v>
          </cell>
          <cell r="AI26">
            <v>-8.9234567901226303E-3</v>
          </cell>
          <cell r="AJ26">
            <v>1.6072674418604601E-2</v>
          </cell>
          <cell r="AK26">
            <v>6.0146568954038103E-3</v>
          </cell>
          <cell r="AL26">
            <v>-75.7352230297099</v>
          </cell>
          <cell r="AM26">
            <v>-228.762821654719</v>
          </cell>
          <cell r="AN26">
            <v>-87.817778760065707</v>
          </cell>
          <cell r="AO26">
            <v>-550</v>
          </cell>
          <cell r="AP26">
            <v>-16.908235332040501</v>
          </cell>
          <cell r="AQ26">
            <v>119.28996500454799</v>
          </cell>
          <cell r="AR26">
            <v>43.753600219798699</v>
          </cell>
          <cell r="AS26">
            <v>30.542398043071898</v>
          </cell>
        </row>
      </sheetData>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T28"/>
  <sheetViews>
    <sheetView topLeftCell="L1" zoomScale="90" zoomScaleNormal="90" workbookViewId="0">
      <selection activeCell="M38" sqref="M38"/>
    </sheetView>
  </sheetViews>
  <sheetFormatPr defaultRowHeight="14.25"/>
  <cols>
    <col min="5" max="5" width="17.5" customWidth="1"/>
    <col min="6" max="6" width="10.125" bestFit="1" customWidth="1"/>
    <col min="7" max="7" width="23.875" bestFit="1" customWidth="1"/>
    <col min="8" max="8" width="19" bestFit="1" customWidth="1"/>
    <col min="9" max="9" width="18.25" bestFit="1" customWidth="1"/>
    <col min="10" max="11" width="15.75" customWidth="1"/>
    <col min="12" max="12" width="23.5" customWidth="1"/>
    <col min="13" max="13" width="35.875" customWidth="1"/>
    <col min="14" max="14" width="27.125" customWidth="1"/>
    <col min="15" max="15" width="28.75" customWidth="1"/>
    <col min="16" max="16" width="20.625" customWidth="1"/>
    <col min="17" max="17" width="19.75" customWidth="1"/>
    <col min="18" max="18" width="12" bestFit="1" customWidth="1"/>
    <col min="19" max="19" width="18.375" bestFit="1" customWidth="1"/>
    <col min="20" max="20" width="13.25" bestFit="1" customWidth="1"/>
    <col min="21" max="21" width="13.25" customWidth="1"/>
    <col min="22" max="22" width="16.25" bestFit="1" customWidth="1"/>
    <col min="23" max="23" width="27.5" bestFit="1" customWidth="1"/>
    <col min="24" max="24" width="28.375" customWidth="1"/>
    <col min="25" max="25" width="26" bestFit="1" customWidth="1"/>
    <col min="26" max="26" width="19" bestFit="1" customWidth="1"/>
    <col min="27" max="27" width="18.25" bestFit="1" customWidth="1"/>
    <col min="28" max="28" width="18.125" customWidth="1"/>
    <col min="29" max="29" width="14.25" customWidth="1"/>
    <col min="30" max="30" width="17.375" bestFit="1" customWidth="1"/>
    <col min="31" max="31" width="28.5" bestFit="1" customWidth="1"/>
    <col min="32" max="32" width="23.875" bestFit="1" customWidth="1"/>
    <col min="33" max="33" width="26" bestFit="1" customWidth="1"/>
    <col min="34" max="34" width="19.25" customWidth="1"/>
    <col min="35" max="35" width="19.625" customWidth="1"/>
    <col min="36" max="36" width="12" bestFit="1" customWidth="1"/>
    <col min="37" max="37" width="18.5" bestFit="1" customWidth="1"/>
    <col min="38" max="39" width="20.75" customWidth="1"/>
    <col min="40" max="40" width="22.5" customWidth="1"/>
    <col min="41" max="41" width="34.875" customWidth="1"/>
    <col min="42" max="42" width="23.875" bestFit="1" customWidth="1"/>
    <col min="43" max="43" width="26" bestFit="1" customWidth="1"/>
    <col min="44" max="44" width="19" bestFit="1" customWidth="1"/>
    <col min="45" max="45" width="18.25" bestFit="1" customWidth="1"/>
    <col min="46" max="47" width="22.5" customWidth="1"/>
    <col min="48" max="48" width="17.375" bestFit="1" customWidth="1"/>
    <col min="49" max="49" width="28.5" bestFit="1" customWidth="1"/>
    <col min="50" max="50" width="23.875" bestFit="1" customWidth="1"/>
    <col min="51" max="51" width="26" bestFit="1" customWidth="1"/>
    <col min="53" max="53" width="10.625" bestFit="1" customWidth="1"/>
    <col min="54" max="54" width="23.75" customWidth="1"/>
    <col min="55" max="55" width="30.125" customWidth="1"/>
    <col min="56" max="56" width="78.25" customWidth="1"/>
    <col min="58" max="58" width="27.75" customWidth="1"/>
    <col min="60" max="60" width="31.625" customWidth="1"/>
    <col min="62" max="62" width="28.125" customWidth="1"/>
    <col min="64" max="64" width="21.25" customWidth="1"/>
    <col min="66" max="66" width="20.875" customWidth="1"/>
    <col min="68" max="68" width="18.75" customWidth="1"/>
    <col min="69" max="69" width="11.125" customWidth="1"/>
    <col min="72" max="72" width="21.75" customWidth="1"/>
    <col min="74" max="74" width="19.625" customWidth="1"/>
    <col min="84" max="84" width="19.875" customWidth="1"/>
    <col min="93" max="93" width="16.25" customWidth="1"/>
    <col min="94" max="94" width="14.875" customWidth="1"/>
    <col min="98" max="98" width="26" bestFit="1" customWidth="1"/>
  </cols>
  <sheetData>
    <row r="1" spans="1:98" ht="114" customHeight="1">
      <c r="A1" t="s">
        <v>0</v>
      </c>
      <c r="B1" t="s">
        <v>1</v>
      </c>
      <c r="C1" t="s">
        <v>2</v>
      </c>
      <c r="D1" t="s">
        <v>3</v>
      </c>
      <c r="E1" t="s">
        <v>4</v>
      </c>
      <c r="F1" t="s">
        <v>5</v>
      </c>
      <c r="G1" t="s">
        <v>6</v>
      </c>
      <c r="H1" s="5" t="s">
        <v>7</v>
      </c>
      <c r="I1" s="5" t="s">
        <v>8</v>
      </c>
      <c r="J1" s="3" t="s">
        <v>9</v>
      </c>
      <c r="K1" s="3" t="s">
        <v>10</v>
      </c>
      <c r="L1" s="3" t="s">
        <v>11</v>
      </c>
      <c r="M1" s="3" t="s">
        <v>12</v>
      </c>
      <c r="N1" s="4" t="s">
        <v>13</v>
      </c>
      <c r="O1" s="4" t="s">
        <v>14</v>
      </c>
      <c r="P1" s="6" t="s">
        <v>15</v>
      </c>
      <c r="Q1" s="6" t="s">
        <v>16</v>
      </c>
      <c r="R1" t="s">
        <v>17</v>
      </c>
      <c r="S1" t="s">
        <v>18</v>
      </c>
      <c r="T1" s="3" t="s">
        <v>19</v>
      </c>
      <c r="U1" s="3" t="s">
        <v>10</v>
      </c>
      <c r="V1" s="3" t="s">
        <v>20</v>
      </c>
      <c r="W1" s="3" t="s">
        <v>21</v>
      </c>
      <c r="X1" s="4" t="s">
        <v>22</v>
      </c>
      <c r="Y1" s="4" t="s">
        <v>23</v>
      </c>
      <c r="Z1" s="5" t="s">
        <v>24</v>
      </c>
      <c r="AA1" s="5" t="s">
        <v>25</v>
      </c>
      <c r="AB1" s="3" t="s">
        <v>26</v>
      </c>
      <c r="AC1" s="3" t="s">
        <v>27</v>
      </c>
      <c r="AD1" s="3" t="s">
        <v>28</v>
      </c>
      <c r="AE1" s="3" t="s">
        <v>29</v>
      </c>
      <c r="AF1" s="4" t="s">
        <v>30</v>
      </c>
      <c r="AG1" s="4" t="s">
        <v>31</v>
      </c>
      <c r="AH1" s="6" t="s">
        <v>32</v>
      </c>
      <c r="AI1" s="6" t="s">
        <v>33</v>
      </c>
      <c r="AJ1" t="s">
        <v>34</v>
      </c>
      <c r="AK1" t="s">
        <v>35</v>
      </c>
      <c r="AL1" s="3" t="s">
        <v>36</v>
      </c>
      <c r="AM1" s="3" t="s">
        <v>27</v>
      </c>
      <c r="AN1" s="3" t="s">
        <v>37</v>
      </c>
      <c r="AO1" s="3" t="s">
        <v>38</v>
      </c>
      <c r="AP1" s="4" t="s">
        <v>39</v>
      </c>
      <c r="AQ1" s="4" t="s">
        <v>40</v>
      </c>
      <c r="AR1" s="5" t="s">
        <v>41</v>
      </c>
      <c r="AS1" s="5" t="s">
        <v>42</v>
      </c>
      <c r="AT1" s="3" t="s">
        <v>43</v>
      </c>
      <c r="AU1" s="3" t="s">
        <v>27</v>
      </c>
      <c r="AV1" s="3" t="s">
        <v>44</v>
      </c>
      <c r="AW1" s="3" t="s">
        <v>45</v>
      </c>
      <c r="AX1" s="4" t="s">
        <v>46</v>
      </c>
      <c r="AY1" s="4" t="s">
        <v>47</v>
      </c>
      <c r="AZ1" s="6" t="s">
        <v>48</v>
      </c>
      <c r="BA1" s="6" t="s">
        <v>49</v>
      </c>
      <c r="BB1" s="8" t="s">
        <v>50</v>
      </c>
      <c r="BC1" s="8" t="s">
        <v>51</v>
      </c>
      <c r="BD1" s="8" t="s">
        <v>52</v>
      </c>
      <c r="BE1" s="8" t="s">
        <v>53</v>
      </c>
      <c r="BF1" s="8" t="s">
        <v>54</v>
      </c>
      <c r="BG1" s="8" t="s">
        <v>55</v>
      </c>
      <c r="BH1" s="8" t="s">
        <v>56</v>
      </c>
      <c r="BI1" s="8" t="s">
        <v>57</v>
      </c>
      <c r="BJ1" s="8" t="s">
        <v>58</v>
      </c>
      <c r="BK1" s="8" t="s">
        <v>59</v>
      </c>
      <c r="BL1" s="8" t="s">
        <v>60</v>
      </c>
      <c r="BM1" s="8" t="s">
        <v>61</v>
      </c>
      <c r="BN1" s="8" t="s">
        <v>62</v>
      </c>
      <c r="BO1" s="8" t="s">
        <v>63</v>
      </c>
      <c r="BP1" s="8" t="s">
        <v>64</v>
      </c>
      <c r="BQ1" s="8" t="s">
        <v>65</v>
      </c>
      <c r="BR1" s="8" t="s">
        <v>66</v>
      </c>
      <c r="BS1" s="8" t="s">
        <v>67</v>
      </c>
      <c r="BT1" s="8" t="s">
        <v>68</v>
      </c>
      <c r="BU1" s="8" t="s">
        <v>69</v>
      </c>
      <c r="BV1" s="8" t="s">
        <v>70</v>
      </c>
      <c r="BW1" s="8" t="s">
        <v>71</v>
      </c>
      <c r="BX1" s="8" t="s">
        <v>72</v>
      </c>
      <c r="BY1" s="8" t="s">
        <v>73</v>
      </c>
      <c r="BZ1" s="8" t="s">
        <v>74</v>
      </c>
      <c r="CA1" s="8" t="s">
        <v>75</v>
      </c>
      <c r="CB1" s="8" t="s">
        <v>76</v>
      </c>
      <c r="CC1" s="8" t="s">
        <v>77</v>
      </c>
      <c r="CD1" s="8" t="s">
        <v>78</v>
      </c>
      <c r="CE1" s="8" t="s">
        <v>79</v>
      </c>
      <c r="CF1" s="8" t="s">
        <v>80</v>
      </c>
      <c r="CG1" s="8" t="s">
        <v>81</v>
      </c>
      <c r="CH1" s="8" t="s">
        <v>82</v>
      </c>
      <c r="CI1" s="8" t="s">
        <v>83</v>
      </c>
      <c r="CJ1" s="8" t="s">
        <v>84</v>
      </c>
      <c r="CK1" s="8" t="s">
        <v>85</v>
      </c>
      <c r="CL1" s="8" t="s">
        <v>86</v>
      </c>
      <c r="CM1" s="8" t="s">
        <v>87</v>
      </c>
      <c r="CN1" s="8" t="s">
        <v>88</v>
      </c>
      <c r="CO1" s="3" t="s">
        <v>89</v>
      </c>
      <c r="CP1" s="3" t="s">
        <v>27</v>
      </c>
      <c r="CQ1" s="3" t="s">
        <v>90</v>
      </c>
      <c r="CR1" s="3" t="s">
        <v>91</v>
      </c>
      <c r="CS1" s="4" t="s">
        <v>92</v>
      </c>
      <c r="CT1" s="4" t="s">
        <v>93</v>
      </c>
    </row>
    <row r="2" spans="1:98">
      <c r="A2">
        <v>1</v>
      </c>
      <c r="B2" t="s">
        <v>94</v>
      </c>
      <c r="C2" t="s">
        <v>95</v>
      </c>
      <c r="D2">
        <v>36</v>
      </c>
      <c r="E2" t="s">
        <v>96</v>
      </c>
      <c r="F2" t="s">
        <v>97</v>
      </c>
      <c r="G2" s="1">
        <v>0.59134259259259259</v>
      </c>
      <c r="H2" s="1">
        <v>0.6</v>
      </c>
      <c r="I2" s="1">
        <v>0.60138888888888886</v>
      </c>
      <c r="J2">
        <v>346.11452541880237</v>
      </c>
      <c r="K2">
        <v>412.97972105177428</v>
      </c>
      <c r="L2">
        <v>59.497261904761913</v>
      </c>
      <c r="M2">
        <v>0.48764285714285649</v>
      </c>
      <c r="N2">
        <v>1.04507996088327E-2</v>
      </c>
      <c r="O2">
        <v>2.1333138909319871E-2</v>
      </c>
      <c r="P2" s="1">
        <v>0.6020833333333333</v>
      </c>
      <c r="Q2" s="2">
        <v>0.60341435185185188</v>
      </c>
      <c r="R2">
        <v>5</v>
      </c>
      <c r="S2">
        <v>4</v>
      </c>
      <c r="T2">
        <v>96.483194385119546</v>
      </c>
      <c r="U2">
        <v>129.53353644109731</v>
      </c>
      <c r="V2">
        <v>56.144022988505753</v>
      </c>
      <c r="W2">
        <v>0.50135632183908097</v>
      </c>
      <c r="X2">
        <v>8.0647733178692404E-3</v>
      </c>
      <c r="Y2">
        <v>1.602814067682086E-2</v>
      </c>
      <c r="Z2" s="1">
        <v>0.60347222222222219</v>
      </c>
      <c r="AA2" s="1">
        <v>0.60416666666666663</v>
      </c>
      <c r="AB2">
        <v>200.58416210728109</v>
      </c>
      <c r="AC2">
        <v>262.50767184556281</v>
      </c>
      <c r="AD2">
        <v>29.57235555555555</v>
      </c>
      <c r="AE2">
        <v>0.551111111111111</v>
      </c>
      <c r="AF2">
        <v>9.1131882077010815E-3</v>
      </c>
      <c r="AG2">
        <v>2.1250295270209461E-2</v>
      </c>
      <c r="AH2" s="11">
        <v>0.60417824074074078</v>
      </c>
      <c r="AI2" s="2">
        <v>0.60550925925925925</v>
      </c>
      <c r="AJ2">
        <v>5</v>
      </c>
      <c r="AK2">
        <v>4</v>
      </c>
      <c r="AL2">
        <v>59.913144975253083</v>
      </c>
      <c r="AM2">
        <v>60.13090742203611</v>
      </c>
      <c r="AN2">
        <v>57.469204819277103</v>
      </c>
      <c r="AO2">
        <v>0.56734939759036085</v>
      </c>
      <c r="AP2">
        <v>9.1395096205615541E-3</v>
      </c>
      <c r="AQ2">
        <v>1.8714861024616149E-2</v>
      </c>
      <c r="AR2" s="10">
        <v>0.60486111111111107</v>
      </c>
      <c r="AS2" s="10">
        <v>0.60624999999999996</v>
      </c>
      <c r="AT2">
        <v>204.26521366096981</v>
      </c>
      <c r="AU2">
        <v>292.39420038887982</v>
      </c>
      <c r="AV2">
        <v>28.829377777777779</v>
      </c>
      <c r="AW2">
        <v>0.58137777777777788</v>
      </c>
      <c r="AX2">
        <v>9.3262408862160306E-3</v>
      </c>
      <c r="AY2">
        <v>2.3177433791137261E-2</v>
      </c>
      <c r="AZ2" s="7">
        <v>0.60624999999999996</v>
      </c>
      <c r="BA2" s="7">
        <v>0.60972222222222228</v>
      </c>
      <c r="BB2" t="s">
        <v>98</v>
      </c>
      <c r="BC2" t="s">
        <v>98</v>
      </c>
      <c r="BD2" t="s">
        <v>98</v>
      </c>
      <c r="BE2" t="s">
        <v>98</v>
      </c>
      <c r="BF2" t="s">
        <v>98</v>
      </c>
      <c r="BG2" t="s">
        <v>98</v>
      </c>
      <c r="BH2" t="s">
        <v>98</v>
      </c>
      <c r="BI2" t="s">
        <v>98</v>
      </c>
      <c r="BJ2" t="s">
        <v>98</v>
      </c>
      <c r="BK2" t="s">
        <v>98</v>
      </c>
      <c r="BL2" t="s">
        <v>98</v>
      </c>
      <c r="BM2" t="s">
        <v>98</v>
      </c>
      <c r="BN2" t="s">
        <v>98</v>
      </c>
      <c r="BO2" t="s">
        <v>98</v>
      </c>
      <c r="BP2" t="s">
        <v>98</v>
      </c>
      <c r="BQ2" t="s">
        <v>98</v>
      </c>
      <c r="BR2" t="s">
        <v>98</v>
      </c>
      <c r="BS2" t="s">
        <v>98</v>
      </c>
      <c r="BT2" t="s">
        <v>98</v>
      </c>
      <c r="BU2" t="s">
        <v>98</v>
      </c>
      <c r="BV2" t="s">
        <v>98</v>
      </c>
      <c r="BW2" t="s">
        <v>98</v>
      </c>
      <c r="BX2" t="s">
        <v>98</v>
      </c>
      <c r="BY2" t="s">
        <v>98</v>
      </c>
      <c r="BZ2" t="s">
        <v>98</v>
      </c>
      <c r="CA2" t="s">
        <v>98</v>
      </c>
      <c r="CB2" t="s">
        <v>98</v>
      </c>
      <c r="CC2" t="s">
        <v>98</v>
      </c>
      <c r="CD2" t="s">
        <v>98</v>
      </c>
      <c r="CE2" t="s">
        <v>98</v>
      </c>
      <c r="CF2" t="s">
        <v>98</v>
      </c>
      <c r="CG2" t="s">
        <v>98</v>
      </c>
      <c r="CH2" t="s">
        <v>98</v>
      </c>
      <c r="CI2" t="s">
        <v>98</v>
      </c>
      <c r="CJ2" t="s">
        <v>98</v>
      </c>
      <c r="CK2" t="s">
        <v>98</v>
      </c>
      <c r="CL2" t="s">
        <v>98</v>
      </c>
      <c r="CM2" t="s">
        <v>98</v>
      </c>
      <c r="CN2" t="s">
        <v>98</v>
      </c>
      <c r="CO2">
        <v>143.2662682717837</v>
      </c>
      <c r="CP2">
        <v>192.60168280463719</v>
      </c>
      <c r="CQ2">
        <v>148.5660930232558</v>
      </c>
      <c r="CR2">
        <v>0.54326511627907081</v>
      </c>
      <c r="CS2">
        <v>7.084297286390249E-3</v>
      </c>
      <c r="CT2">
        <v>1.379497417734969E-2</v>
      </c>
    </row>
    <row r="3" spans="1:98">
      <c r="A3">
        <v>2</v>
      </c>
      <c r="B3" t="s">
        <v>99</v>
      </c>
      <c r="C3" t="s">
        <v>95</v>
      </c>
      <c r="D3">
        <v>24</v>
      </c>
      <c r="E3" t="s">
        <v>96</v>
      </c>
      <c r="F3" t="s">
        <v>100</v>
      </c>
      <c r="G3" s="1">
        <v>0.4465277777777778</v>
      </c>
      <c r="H3" s="1">
        <v>0.4465277777777778</v>
      </c>
      <c r="I3" s="1">
        <v>0.44791666666666669</v>
      </c>
      <c r="J3">
        <v>126.0576336014778</v>
      </c>
      <c r="K3">
        <v>133.8894821956647</v>
      </c>
      <c r="L3">
        <v>60.837152173913047</v>
      </c>
      <c r="M3">
        <v>0.48313043478260731</v>
      </c>
      <c r="N3">
        <v>5.5871997695364243E-3</v>
      </c>
      <c r="O3">
        <v>1.061622625112117E-2</v>
      </c>
      <c r="P3" s="1">
        <v>0.44930555555555562</v>
      </c>
      <c r="Q3" s="1">
        <v>0.45037037037037042</v>
      </c>
      <c r="R3">
        <v>7</v>
      </c>
      <c r="S3">
        <v>7</v>
      </c>
      <c r="T3">
        <v>52.570187810817863</v>
      </c>
      <c r="U3">
        <v>43.826563597522807</v>
      </c>
      <c r="V3">
        <v>47.258733333333339</v>
      </c>
      <c r="W3">
        <v>0.49143333333333311</v>
      </c>
      <c r="X3">
        <v>5.6631193181434468E-3</v>
      </c>
      <c r="Y3">
        <v>1.203453990420804E-2</v>
      </c>
      <c r="Z3" s="1">
        <v>0.45069444444444451</v>
      </c>
      <c r="AA3" s="1">
        <v>0.45208333333333328</v>
      </c>
      <c r="AB3">
        <v>120.60908367430061</v>
      </c>
      <c r="AC3">
        <v>86.354071363345071</v>
      </c>
      <c r="AD3">
        <v>60.103096774193553</v>
      </c>
      <c r="AE3">
        <v>0.50320430107526926</v>
      </c>
      <c r="AF3">
        <v>5.5875305598369436E-3</v>
      </c>
      <c r="AG3">
        <v>1.118244629502242E-2</v>
      </c>
      <c r="AH3" s="11">
        <v>0.45209490740740738</v>
      </c>
      <c r="AI3" s="1">
        <v>0.45293981481481482</v>
      </c>
      <c r="AJ3">
        <v>5</v>
      </c>
      <c r="AK3">
        <v>4</v>
      </c>
      <c r="AL3">
        <v>227.26773732899659</v>
      </c>
      <c r="AM3">
        <v>178.97323903269719</v>
      </c>
      <c r="AN3">
        <v>35.003285714285717</v>
      </c>
      <c r="AO3">
        <v>0.45014285714285701</v>
      </c>
      <c r="AP3">
        <v>6.0734997734743596E-3</v>
      </c>
      <c r="AQ3">
        <v>1.288166777025526E-2</v>
      </c>
      <c r="AR3" s="10">
        <v>0.45277777777777778</v>
      </c>
      <c r="AS3" s="10">
        <v>0.45416666666666672</v>
      </c>
      <c r="AT3">
        <v>134.5352426045672</v>
      </c>
      <c r="AU3">
        <v>89.842357063954125</v>
      </c>
      <c r="AV3">
        <v>53.296765432098773</v>
      </c>
      <c r="AW3">
        <v>0.47703703703703748</v>
      </c>
      <c r="AX3">
        <v>6.1035186833718188E-3</v>
      </c>
      <c r="AY3">
        <v>1.206048160767683E-2</v>
      </c>
      <c r="AZ3" s="7">
        <v>0.45416666666666672</v>
      </c>
      <c r="BA3" s="7">
        <v>0.46041666666666659</v>
      </c>
      <c r="BB3" t="s">
        <v>101</v>
      </c>
      <c r="BC3" t="s">
        <v>102</v>
      </c>
      <c r="BD3" t="s">
        <v>103</v>
      </c>
      <c r="BE3" t="s">
        <v>101</v>
      </c>
      <c r="BF3" t="s">
        <v>104</v>
      </c>
      <c r="BG3" t="s">
        <v>105</v>
      </c>
      <c r="BH3" t="s">
        <v>106</v>
      </c>
      <c r="BI3" t="s">
        <v>101</v>
      </c>
      <c r="BJ3" t="s">
        <v>107</v>
      </c>
      <c r="BK3" t="s">
        <v>105</v>
      </c>
      <c r="BL3" t="s">
        <v>106</v>
      </c>
      <c r="BM3" t="s">
        <v>105</v>
      </c>
      <c r="BN3" t="s">
        <v>106</v>
      </c>
      <c r="BO3" t="s">
        <v>101</v>
      </c>
      <c r="BP3" t="s">
        <v>108</v>
      </c>
      <c r="BQ3" t="s">
        <v>105</v>
      </c>
      <c r="BR3" t="s">
        <v>106</v>
      </c>
      <c r="BS3" t="s">
        <v>101</v>
      </c>
      <c r="BT3" t="s">
        <v>102</v>
      </c>
      <c r="BU3" t="s">
        <v>109</v>
      </c>
      <c r="BV3" t="s">
        <v>110</v>
      </c>
      <c r="BW3" t="s">
        <v>111</v>
      </c>
      <c r="BX3" t="s">
        <v>112</v>
      </c>
      <c r="BY3" t="s">
        <v>112</v>
      </c>
      <c r="BZ3" t="s">
        <v>112</v>
      </c>
      <c r="CA3" t="s">
        <v>113</v>
      </c>
      <c r="CB3" t="s">
        <v>114</v>
      </c>
      <c r="CC3" t="s">
        <v>111</v>
      </c>
      <c r="CD3" t="s">
        <v>111</v>
      </c>
      <c r="CE3" t="s">
        <v>113</v>
      </c>
      <c r="CF3" t="s">
        <v>112</v>
      </c>
      <c r="CG3" t="s">
        <v>111</v>
      </c>
      <c r="CH3" t="s">
        <v>111</v>
      </c>
      <c r="CI3" t="s">
        <v>114</v>
      </c>
      <c r="CJ3" t="s">
        <v>113</v>
      </c>
      <c r="CK3" t="s">
        <v>113</v>
      </c>
      <c r="CL3" t="s">
        <v>115</v>
      </c>
      <c r="CM3" t="s">
        <v>116</v>
      </c>
      <c r="CN3" t="s">
        <v>117</v>
      </c>
      <c r="CP3">
        <v>152.07599154903761</v>
      </c>
      <c r="CQ3">
        <v>271.90199999999999</v>
      </c>
      <c r="CR3">
        <v>0.49706666666666471</v>
      </c>
      <c r="CS3">
        <v>6.6443540458268934E-3</v>
      </c>
      <c r="CT3">
        <v>1.1511554598523561E-2</v>
      </c>
    </row>
    <row r="4" spans="1:98">
      <c r="A4">
        <v>3</v>
      </c>
      <c r="B4" t="s">
        <v>118</v>
      </c>
      <c r="C4" t="s">
        <v>95</v>
      </c>
      <c r="D4">
        <v>21</v>
      </c>
      <c r="E4" t="s">
        <v>119</v>
      </c>
      <c r="F4" t="s">
        <v>100</v>
      </c>
      <c r="G4" s="1">
        <v>0.56918981481481479</v>
      </c>
      <c r="H4" s="1">
        <v>0.5708333333333333</v>
      </c>
      <c r="I4" s="1">
        <v>0.57222222222222219</v>
      </c>
      <c r="J4">
        <v>381.19983823011501</v>
      </c>
      <c r="K4">
        <v>408.72973955903763</v>
      </c>
      <c r="L4">
        <v>58.293078651685398</v>
      </c>
      <c r="M4">
        <v>0.55060674157303269</v>
      </c>
      <c r="N4">
        <v>6.0616971883641979E-3</v>
      </c>
      <c r="O4">
        <v>1.254036762078993E-2</v>
      </c>
      <c r="P4" s="1">
        <v>0.57271990740740741</v>
      </c>
      <c r="Q4" s="1">
        <v>0.5738657407407407</v>
      </c>
      <c r="R4">
        <v>7</v>
      </c>
      <c r="S4">
        <v>7</v>
      </c>
      <c r="T4">
        <v>377.19034660998068</v>
      </c>
      <c r="U4">
        <v>524.58265598756009</v>
      </c>
      <c r="V4">
        <v>48.496054794520553</v>
      </c>
      <c r="W4">
        <v>0.46027397260273889</v>
      </c>
      <c r="X4">
        <v>5.8369453678089652E-3</v>
      </c>
      <c r="Y4">
        <v>1.2550341084087769E-2</v>
      </c>
      <c r="Z4" s="1">
        <v>0.57387731481481485</v>
      </c>
      <c r="AA4" s="1">
        <v>0.57525462962962959</v>
      </c>
      <c r="AB4">
        <v>68.569500856453104</v>
      </c>
      <c r="AC4">
        <v>84.436493723937815</v>
      </c>
      <c r="AD4">
        <v>58.712134831460673</v>
      </c>
      <c r="AE4">
        <v>0.52128089887640472</v>
      </c>
      <c r="AF4">
        <v>6.9602331713291008E-3</v>
      </c>
      <c r="AG4">
        <v>1.357297208126516E-2</v>
      </c>
      <c r="AH4" s="11">
        <v>0.57597222222222222</v>
      </c>
      <c r="AI4" s="1">
        <v>0.57695601851851852</v>
      </c>
      <c r="AJ4">
        <v>6</v>
      </c>
      <c r="AK4">
        <v>6</v>
      </c>
      <c r="AL4">
        <v>0</v>
      </c>
      <c r="AM4">
        <v>850.66620950875983</v>
      </c>
      <c r="AN4">
        <v>41.934468750000008</v>
      </c>
      <c r="AO4">
        <v>0.47746874999999972</v>
      </c>
      <c r="AP4">
        <v>7.5365238432414843E-3</v>
      </c>
      <c r="AQ4">
        <v>1.5648135283594988E-2</v>
      </c>
      <c r="AR4" s="10">
        <v>0.57708333333333328</v>
      </c>
      <c r="AS4" s="10">
        <v>0.57847222222222228</v>
      </c>
      <c r="AT4">
        <v>66.336312949544848</v>
      </c>
      <c r="AU4">
        <v>78.373128720175913</v>
      </c>
      <c r="AV4">
        <v>60.751415730337079</v>
      </c>
      <c r="AW4">
        <v>0.43222471910112359</v>
      </c>
      <c r="AX4">
        <v>7.4523027112248074E-3</v>
      </c>
      <c r="AY4">
        <v>1.438881860471148E-2</v>
      </c>
      <c r="AZ4" s="7">
        <v>0.57847222222222228</v>
      </c>
      <c r="BA4" s="7">
        <v>0.58263888888888893</v>
      </c>
      <c r="BB4" t="s">
        <v>105</v>
      </c>
      <c r="BC4" t="s">
        <v>106</v>
      </c>
      <c r="BD4" t="s">
        <v>106</v>
      </c>
      <c r="BE4" t="s">
        <v>105</v>
      </c>
      <c r="BF4" t="s">
        <v>106</v>
      </c>
      <c r="BG4" t="s">
        <v>105</v>
      </c>
      <c r="BH4" t="s">
        <v>106</v>
      </c>
      <c r="BI4" t="s">
        <v>101</v>
      </c>
      <c r="BJ4" t="s">
        <v>120</v>
      </c>
      <c r="BK4" t="s">
        <v>105</v>
      </c>
      <c r="BL4" t="s">
        <v>106</v>
      </c>
      <c r="BM4" t="s">
        <v>101</v>
      </c>
      <c r="BN4" t="s">
        <v>121</v>
      </c>
      <c r="BO4" t="s">
        <v>105</v>
      </c>
      <c r="BP4" t="s">
        <v>106</v>
      </c>
      <c r="BQ4" t="s">
        <v>105</v>
      </c>
      <c r="BR4" t="s">
        <v>106</v>
      </c>
      <c r="BS4" t="s">
        <v>105</v>
      </c>
      <c r="BT4" t="s">
        <v>106</v>
      </c>
      <c r="BU4" t="s">
        <v>122</v>
      </c>
      <c r="BV4" t="s">
        <v>105</v>
      </c>
      <c r="BW4" t="s">
        <v>111</v>
      </c>
      <c r="BX4" t="s">
        <v>112</v>
      </c>
      <c r="BY4" t="s">
        <v>123</v>
      </c>
      <c r="BZ4" t="s">
        <v>123</v>
      </c>
      <c r="CA4" t="s">
        <v>111</v>
      </c>
      <c r="CB4" t="s">
        <v>112</v>
      </c>
      <c r="CC4" t="s">
        <v>123</v>
      </c>
      <c r="CD4" t="s">
        <v>112</v>
      </c>
      <c r="CE4" t="s">
        <v>113</v>
      </c>
      <c r="CF4" t="s">
        <v>123</v>
      </c>
      <c r="CG4" t="s">
        <v>123</v>
      </c>
      <c r="CH4" t="s">
        <v>123</v>
      </c>
      <c r="CI4" t="s">
        <v>112</v>
      </c>
      <c r="CJ4" t="s">
        <v>123</v>
      </c>
      <c r="CK4" t="s">
        <v>111</v>
      </c>
      <c r="CL4" t="s">
        <v>124</v>
      </c>
      <c r="CM4" t="s">
        <v>116</v>
      </c>
      <c r="CN4" t="s">
        <v>117</v>
      </c>
      <c r="CO4">
        <v>261.99070734487111</v>
      </c>
      <c r="CP4">
        <v>349.85938466917628</v>
      </c>
      <c r="CQ4">
        <v>178.25944981412641</v>
      </c>
      <c r="CR4">
        <v>0.49333828996282508</v>
      </c>
      <c r="CS4">
        <v>6.7489138562380627E-3</v>
      </c>
      <c r="CT4">
        <v>1.237355168784334E-2</v>
      </c>
    </row>
    <row r="5" spans="1:98">
      <c r="A5">
        <v>4</v>
      </c>
      <c r="B5" t="s">
        <v>99</v>
      </c>
      <c r="C5" t="s">
        <v>125</v>
      </c>
      <c r="D5">
        <v>28</v>
      </c>
      <c r="E5" t="s">
        <v>126</v>
      </c>
      <c r="F5" t="s">
        <v>127</v>
      </c>
      <c r="G5" s="1">
        <v>0.46399305555555548</v>
      </c>
      <c r="H5" s="1">
        <v>0.46597222222222218</v>
      </c>
      <c r="I5" s="1">
        <v>0.46736111111111112</v>
      </c>
      <c r="J5">
        <v>33.486555424461883</v>
      </c>
      <c r="K5">
        <v>17.40552731038045</v>
      </c>
      <c r="L5">
        <v>59.43621052631579</v>
      </c>
      <c r="M5">
        <v>0.51036842105263158</v>
      </c>
      <c r="N5">
        <v>2.1444646752853191E-2</v>
      </c>
      <c r="O5">
        <v>6.0708116225847208E-2</v>
      </c>
      <c r="P5" s="1">
        <v>0.46832175925925928</v>
      </c>
      <c r="Q5" s="1">
        <v>0.46945601851851848</v>
      </c>
      <c r="R5">
        <v>6</v>
      </c>
      <c r="S5">
        <v>6</v>
      </c>
      <c r="T5">
        <v>89.015546711724937</v>
      </c>
      <c r="U5">
        <v>88.644566415148162</v>
      </c>
      <c r="V5">
        <v>49.332696969696983</v>
      </c>
      <c r="W5">
        <v>0.50836363636363613</v>
      </c>
      <c r="X5">
        <v>2.07260203264324E-2</v>
      </c>
      <c r="Y5">
        <v>6.4014280945984769E-2</v>
      </c>
      <c r="Z5" s="1">
        <v>0.46946759259259258</v>
      </c>
      <c r="AA5" s="1">
        <v>0.47084490740740742</v>
      </c>
      <c r="AB5">
        <v>80.204880507004489</v>
      </c>
      <c r="AC5">
        <v>86.931734348174885</v>
      </c>
      <c r="AD5">
        <v>58.375624999999999</v>
      </c>
      <c r="AE5">
        <v>0.50869999999999971</v>
      </c>
      <c r="AF5">
        <v>1.9415033652904579E-2</v>
      </c>
      <c r="AG5">
        <v>5.5553844494878372E-2</v>
      </c>
      <c r="AH5" s="11">
        <v>0.47107638888888892</v>
      </c>
      <c r="AI5" s="1">
        <v>0.47209490740740739</v>
      </c>
      <c r="AJ5">
        <v>6</v>
      </c>
      <c r="AK5">
        <v>5</v>
      </c>
      <c r="AL5">
        <v>117.18343304185311</v>
      </c>
      <c r="AM5">
        <v>760.19660859604824</v>
      </c>
      <c r="AN5">
        <v>43.67490909090909</v>
      </c>
      <c r="AO5">
        <v>0.55763636363636349</v>
      </c>
      <c r="AP5">
        <v>1.890751389218084E-2</v>
      </c>
      <c r="AQ5">
        <v>6.0823300074279683E-2</v>
      </c>
      <c r="AR5" s="10">
        <v>0.47222222222222221</v>
      </c>
      <c r="AS5" s="10">
        <v>0.47361111111111109</v>
      </c>
      <c r="AU5">
        <v>156.41982129457719</v>
      </c>
      <c r="AV5">
        <v>60.692909090909097</v>
      </c>
      <c r="AW5">
        <v>0.52345454545454528</v>
      </c>
      <c r="AX5">
        <v>1.6688519810463029E-2</v>
      </c>
      <c r="AY5">
        <v>5.2532315411767887E-2</v>
      </c>
      <c r="AZ5" s="7">
        <v>0.47361111111111109</v>
      </c>
      <c r="BA5" s="7">
        <v>0.4777777777777778</v>
      </c>
      <c r="BB5" t="s">
        <v>128</v>
      </c>
      <c r="BC5" t="s">
        <v>129</v>
      </c>
      <c r="BD5" t="s">
        <v>130</v>
      </c>
      <c r="BE5" t="s">
        <v>131</v>
      </c>
      <c r="BF5" t="s">
        <v>132</v>
      </c>
      <c r="BG5" t="s">
        <v>133</v>
      </c>
      <c r="BH5" t="s">
        <v>129</v>
      </c>
      <c r="BI5" t="s">
        <v>133</v>
      </c>
      <c r="BJ5" t="s">
        <v>129</v>
      </c>
      <c r="BK5" t="s">
        <v>133</v>
      </c>
      <c r="BL5" t="s">
        <v>129</v>
      </c>
      <c r="BM5" t="s">
        <v>133</v>
      </c>
      <c r="BN5" t="s">
        <v>129</v>
      </c>
      <c r="BO5" t="s">
        <v>131</v>
      </c>
      <c r="BP5" t="s">
        <v>134</v>
      </c>
      <c r="BQ5" t="s">
        <v>133</v>
      </c>
      <c r="BR5" t="s">
        <v>129</v>
      </c>
      <c r="BS5" t="s">
        <v>133</v>
      </c>
      <c r="BT5" t="s">
        <v>129</v>
      </c>
      <c r="BU5" t="s">
        <v>135</v>
      </c>
      <c r="BV5" t="s">
        <v>136</v>
      </c>
      <c r="BW5" t="s">
        <v>112</v>
      </c>
      <c r="BX5" t="s">
        <v>111</v>
      </c>
      <c r="BY5" t="s">
        <v>111</v>
      </c>
      <c r="BZ5" t="s">
        <v>112</v>
      </c>
      <c r="CA5" t="s">
        <v>123</v>
      </c>
      <c r="CB5" t="s">
        <v>112</v>
      </c>
      <c r="CC5" t="s">
        <v>123</v>
      </c>
      <c r="CD5" t="s">
        <v>123</v>
      </c>
      <c r="CE5" t="s">
        <v>111</v>
      </c>
      <c r="CF5" t="s">
        <v>123</v>
      </c>
      <c r="CG5" t="s">
        <v>112</v>
      </c>
      <c r="CH5" t="s">
        <v>111</v>
      </c>
      <c r="CI5" t="s">
        <v>111</v>
      </c>
      <c r="CJ5" t="s">
        <v>123</v>
      </c>
      <c r="CK5" t="s">
        <v>112</v>
      </c>
      <c r="CL5" t="s">
        <v>124</v>
      </c>
      <c r="CM5" t="s">
        <v>116</v>
      </c>
      <c r="CN5" t="s">
        <v>124</v>
      </c>
      <c r="CO5">
        <v>147.58713676706259</v>
      </c>
      <c r="CP5">
        <v>195.8082939173043</v>
      </c>
      <c r="CQ5">
        <v>179.77039830508471</v>
      </c>
      <c r="CR5">
        <v>0.5191016949152546</v>
      </c>
      <c r="CS5">
        <v>1.385545875034291E-2</v>
      </c>
      <c r="CT5">
        <v>2.7744543634373439E-2</v>
      </c>
    </row>
    <row r="6" spans="1:98">
      <c r="A6">
        <v>5</v>
      </c>
      <c r="B6" t="s">
        <v>137</v>
      </c>
      <c r="C6" t="s">
        <v>125</v>
      </c>
      <c r="D6">
        <v>41</v>
      </c>
      <c r="E6" t="s">
        <v>138</v>
      </c>
      <c r="F6" t="s">
        <v>127</v>
      </c>
      <c r="G6" s="1">
        <v>0.56997685185185187</v>
      </c>
      <c r="H6" s="1">
        <v>0.57152777777777775</v>
      </c>
      <c r="I6" s="1">
        <v>0.57291666666666663</v>
      </c>
      <c r="J6">
        <v>51.882484948956382</v>
      </c>
      <c r="K6">
        <v>64.169696898146611</v>
      </c>
      <c r="L6">
        <v>60.494831460674163</v>
      </c>
      <c r="M6">
        <v>0.57029213483146102</v>
      </c>
      <c r="N6">
        <v>7.5153146980598776E-3</v>
      </c>
      <c r="O6">
        <v>1.6885969972023358E-2</v>
      </c>
      <c r="P6" s="1">
        <v>0.57347222222222227</v>
      </c>
      <c r="Q6" s="1">
        <v>0.57415509259259256</v>
      </c>
      <c r="R6">
        <v>5</v>
      </c>
      <c r="S6">
        <v>4</v>
      </c>
      <c r="T6">
        <v>38.825554516414797</v>
      </c>
      <c r="V6">
        <v>28.50927272727273</v>
      </c>
      <c r="W6">
        <v>0.47013636363636391</v>
      </c>
      <c r="X6">
        <v>7.3973587624466671E-3</v>
      </c>
      <c r="Y6">
        <v>2.1401987247694241E-2</v>
      </c>
      <c r="Z6" s="1">
        <v>0.57416666666666671</v>
      </c>
      <c r="AA6" s="1">
        <v>0.57513888888888887</v>
      </c>
      <c r="AC6">
        <v>613.30359049793105</v>
      </c>
      <c r="AD6">
        <v>41.335968750000013</v>
      </c>
      <c r="AE6">
        <v>0.47768750000000082</v>
      </c>
      <c r="AF6">
        <v>6.5180286795523557E-3</v>
      </c>
      <c r="AG6">
        <v>1.6779244769245489E-2</v>
      </c>
      <c r="AH6" s="11">
        <v>0.57515046296296302</v>
      </c>
      <c r="AI6" s="1">
        <v>0.57638888888888884</v>
      </c>
      <c r="AJ6">
        <v>7</v>
      </c>
      <c r="AK6">
        <v>6</v>
      </c>
      <c r="AL6">
        <v>10.408606933690701</v>
      </c>
      <c r="AM6">
        <v>5.0485448277744167</v>
      </c>
      <c r="AN6">
        <v>52.706197530864202</v>
      </c>
      <c r="AO6">
        <v>0.50195061728395074</v>
      </c>
      <c r="AP6">
        <v>6.319088636639698E-3</v>
      </c>
      <c r="AQ6">
        <v>1.5378331845680529E-2</v>
      </c>
      <c r="AR6" s="10">
        <v>0.57638888888888884</v>
      </c>
      <c r="AS6" s="10">
        <v>0.57777777777777772</v>
      </c>
      <c r="AT6">
        <v>35.083127945513169</v>
      </c>
      <c r="AU6">
        <v>11.31160381875061</v>
      </c>
      <c r="AV6">
        <v>58.829227272727273</v>
      </c>
      <c r="AW6">
        <v>0.46009090909090911</v>
      </c>
      <c r="AX6">
        <v>6.1192593566903432E-3</v>
      </c>
      <c r="AY6">
        <v>1.5220375637086369E-2</v>
      </c>
      <c r="AZ6" s="7">
        <v>0.57777777777777772</v>
      </c>
      <c r="BA6" s="7">
        <v>0.5805555555555556</v>
      </c>
      <c r="BB6" t="s">
        <v>139</v>
      </c>
      <c r="BC6" t="s">
        <v>140</v>
      </c>
      <c r="BD6" t="s">
        <v>141</v>
      </c>
      <c r="BE6" t="s">
        <v>105</v>
      </c>
      <c r="BF6" t="s">
        <v>106</v>
      </c>
      <c r="BG6" t="s">
        <v>105</v>
      </c>
      <c r="BH6" t="s">
        <v>106</v>
      </c>
      <c r="BI6" t="s">
        <v>101</v>
      </c>
      <c r="BJ6" t="s">
        <v>142</v>
      </c>
      <c r="BK6" t="s">
        <v>101</v>
      </c>
      <c r="BL6" t="s">
        <v>143</v>
      </c>
      <c r="BM6" t="s">
        <v>101</v>
      </c>
      <c r="BN6" t="s">
        <v>121</v>
      </c>
      <c r="BO6" t="s">
        <v>101</v>
      </c>
      <c r="BP6" t="s">
        <v>144</v>
      </c>
      <c r="BQ6" t="s">
        <v>101</v>
      </c>
      <c r="BR6" t="s">
        <v>145</v>
      </c>
      <c r="BS6" t="s">
        <v>101</v>
      </c>
      <c r="BT6" t="s">
        <v>146</v>
      </c>
      <c r="BU6" t="s">
        <v>147</v>
      </c>
      <c r="BV6" t="s">
        <v>148</v>
      </c>
      <c r="BW6" t="s">
        <v>123</v>
      </c>
      <c r="BX6" t="s">
        <v>112</v>
      </c>
      <c r="BY6" t="s">
        <v>112</v>
      </c>
      <c r="BZ6" t="s">
        <v>111</v>
      </c>
      <c r="CA6" t="s">
        <v>111</v>
      </c>
      <c r="CB6" t="s">
        <v>112</v>
      </c>
      <c r="CC6" t="s">
        <v>112</v>
      </c>
      <c r="CD6" t="s">
        <v>123</v>
      </c>
      <c r="CE6" t="s">
        <v>111</v>
      </c>
      <c r="CF6" t="s">
        <v>123</v>
      </c>
      <c r="CG6" t="s">
        <v>123</v>
      </c>
      <c r="CH6" t="s">
        <v>123</v>
      </c>
      <c r="CI6" t="s">
        <v>123</v>
      </c>
      <c r="CJ6" t="s">
        <v>112</v>
      </c>
      <c r="CK6" t="s">
        <v>123</v>
      </c>
      <c r="CL6" t="s">
        <v>115</v>
      </c>
      <c r="CM6" t="s">
        <v>116</v>
      </c>
      <c r="CN6" t="s">
        <v>124</v>
      </c>
      <c r="CO6">
        <v>21.72590593267946</v>
      </c>
      <c r="CP6">
        <v>9.4592814666399327</v>
      </c>
      <c r="CQ6">
        <v>118.8931173184358</v>
      </c>
      <c r="CR6">
        <v>0.50049162011173143</v>
      </c>
      <c r="CS6">
        <v>5.6145284158424262E-3</v>
      </c>
      <c r="CT6">
        <v>1.292281344202309E-2</v>
      </c>
    </row>
    <row r="7" spans="1:98">
      <c r="A7">
        <v>6</v>
      </c>
      <c r="B7" t="s">
        <v>149</v>
      </c>
      <c r="C7" t="s">
        <v>95</v>
      </c>
      <c r="D7">
        <v>28</v>
      </c>
      <c r="E7" t="s">
        <v>119</v>
      </c>
      <c r="F7" t="s">
        <v>127</v>
      </c>
      <c r="G7" s="1">
        <v>0.63626157407407402</v>
      </c>
      <c r="H7" s="1">
        <v>0.63680555555555551</v>
      </c>
      <c r="I7" s="1">
        <v>0.6381944444444444</v>
      </c>
      <c r="J7">
        <v>71.300039242675652</v>
      </c>
      <c r="K7">
        <v>71.561055158407953</v>
      </c>
      <c r="L7">
        <v>59.174813186813182</v>
      </c>
      <c r="M7">
        <v>0.46197802197802162</v>
      </c>
      <c r="N7">
        <v>1.067840734948562E-2</v>
      </c>
      <c r="O7">
        <v>1.9314230780716739E-2</v>
      </c>
      <c r="P7" s="1">
        <v>0.63820601851851855</v>
      </c>
      <c r="Q7" s="1">
        <v>0.63940972222222225</v>
      </c>
      <c r="R7">
        <v>6</v>
      </c>
      <c r="S7">
        <v>6</v>
      </c>
      <c r="T7">
        <v>64.871459392110069</v>
      </c>
      <c r="U7">
        <v>67.668371836542491</v>
      </c>
      <c r="V7">
        <v>51.504493506493503</v>
      </c>
      <c r="W7">
        <v>0.53080519480519484</v>
      </c>
      <c r="X7">
        <v>1.036683324823115E-2</v>
      </c>
      <c r="Y7">
        <v>1.8472883378818909E-2</v>
      </c>
      <c r="Z7" s="1">
        <v>0.63958333333333328</v>
      </c>
      <c r="AA7" s="1">
        <v>0.64097222222222228</v>
      </c>
      <c r="AB7">
        <v>114.1328973536224</v>
      </c>
      <c r="AC7">
        <v>126.4393818920089</v>
      </c>
      <c r="AD7">
        <v>59.88922222222223</v>
      </c>
      <c r="AE7">
        <v>0.54148888888888902</v>
      </c>
      <c r="AF7">
        <v>9.0576422398334737E-3</v>
      </c>
      <c r="AG7">
        <v>1.7100835926239569E-2</v>
      </c>
      <c r="AH7" s="11">
        <v>0.64098379629629632</v>
      </c>
      <c r="AI7" s="1">
        <v>0.64181712962962967</v>
      </c>
      <c r="AJ7">
        <v>5</v>
      </c>
      <c r="AK7">
        <v>4</v>
      </c>
      <c r="AL7">
        <v>86.775674254606912</v>
      </c>
      <c r="AM7">
        <v>124.7141848667457</v>
      </c>
      <c r="AN7">
        <v>35.690285714285707</v>
      </c>
      <c r="AO7">
        <v>0.46932142857142811</v>
      </c>
      <c r="AP7">
        <v>8.3578973703274436E-3</v>
      </c>
      <c r="AQ7">
        <v>1.517851661491087E-2</v>
      </c>
      <c r="AR7" s="10">
        <v>0.64166666666666672</v>
      </c>
      <c r="AS7" s="10">
        <v>0.6430555555555556</v>
      </c>
      <c r="AT7">
        <v>90.846639833908554</v>
      </c>
      <c r="AU7">
        <v>101.35834210124661</v>
      </c>
      <c r="AV7">
        <v>51.405170731707322</v>
      </c>
      <c r="AW7">
        <v>0.50824390243902429</v>
      </c>
      <c r="AX7">
        <v>9.3259661929920058E-3</v>
      </c>
      <c r="AY7">
        <v>1.8338087659551229E-2</v>
      </c>
      <c r="AZ7" s="7">
        <v>0.6430555555555556</v>
      </c>
      <c r="BA7" s="7">
        <v>0.64583333333333337</v>
      </c>
      <c r="BB7" t="s">
        <v>133</v>
      </c>
      <c r="BC7" t="s">
        <v>129</v>
      </c>
      <c r="BD7" t="s">
        <v>150</v>
      </c>
      <c r="BE7" t="s">
        <v>151</v>
      </c>
      <c r="BF7" t="s">
        <v>129</v>
      </c>
      <c r="BG7" t="s">
        <v>151</v>
      </c>
      <c r="BH7" t="s">
        <v>129</v>
      </c>
      <c r="BI7" t="s">
        <v>133</v>
      </c>
      <c r="BJ7" t="s">
        <v>129</v>
      </c>
      <c r="BK7" t="s">
        <v>133</v>
      </c>
      <c r="BL7" t="s">
        <v>129</v>
      </c>
      <c r="BM7" t="s">
        <v>133</v>
      </c>
      <c r="BN7" t="s">
        <v>152</v>
      </c>
      <c r="BO7" t="s">
        <v>133</v>
      </c>
      <c r="BP7" t="s">
        <v>129</v>
      </c>
      <c r="BQ7" t="s">
        <v>133</v>
      </c>
      <c r="BR7" t="s">
        <v>129</v>
      </c>
      <c r="BS7" t="s">
        <v>133</v>
      </c>
      <c r="BT7" t="s">
        <v>129</v>
      </c>
      <c r="BU7" t="s">
        <v>153</v>
      </c>
      <c r="BV7" t="s">
        <v>154</v>
      </c>
      <c r="BW7" t="s">
        <v>111</v>
      </c>
      <c r="BX7" t="s">
        <v>112</v>
      </c>
      <c r="BY7" t="s">
        <v>111</v>
      </c>
      <c r="BZ7" t="s">
        <v>113</v>
      </c>
      <c r="CA7" t="s">
        <v>113</v>
      </c>
      <c r="CB7" t="s">
        <v>112</v>
      </c>
      <c r="CC7" t="s">
        <v>112</v>
      </c>
      <c r="CD7" t="s">
        <v>123</v>
      </c>
      <c r="CE7" t="s">
        <v>113</v>
      </c>
      <c r="CF7" t="s">
        <v>112</v>
      </c>
      <c r="CG7" t="s">
        <v>113</v>
      </c>
      <c r="CH7" t="s">
        <v>111</v>
      </c>
      <c r="CI7" t="s">
        <v>112</v>
      </c>
      <c r="CJ7" t="s">
        <v>112</v>
      </c>
      <c r="CK7" t="s">
        <v>113</v>
      </c>
      <c r="CL7" t="s">
        <v>155</v>
      </c>
      <c r="CM7" t="s">
        <v>116</v>
      </c>
      <c r="CN7" t="s">
        <v>124</v>
      </c>
      <c r="CO7">
        <v>56.899432704738587</v>
      </c>
      <c r="CP7">
        <v>53.837203163281018</v>
      </c>
      <c r="CQ7">
        <v>116.2259649122807</v>
      </c>
      <c r="CR7">
        <v>0.52480701754385806</v>
      </c>
      <c r="CS7">
        <v>9.5075108978338665E-3</v>
      </c>
      <c r="CT7">
        <v>1.7555201523051841E-2</v>
      </c>
    </row>
    <row r="8" spans="1:98">
      <c r="A8">
        <v>7</v>
      </c>
      <c r="B8" t="s">
        <v>137</v>
      </c>
      <c r="C8" t="s">
        <v>95</v>
      </c>
      <c r="D8">
        <v>27</v>
      </c>
      <c r="E8" t="s">
        <v>156</v>
      </c>
      <c r="F8" t="s">
        <v>157</v>
      </c>
      <c r="G8" s="1">
        <v>0.45996527777777779</v>
      </c>
      <c r="H8" s="1">
        <v>0.46597222222222218</v>
      </c>
      <c r="I8" s="1">
        <v>0.46736111111111112</v>
      </c>
      <c r="J8">
        <v>101.93327422709341</v>
      </c>
      <c r="K8">
        <v>125.2291137685328</v>
      </c>
      <c r="L8">
        <v>59.717204545454543</v>
      </c>
      <c r="M8">
        <v>0.50988636363636397</v>
      </c>
      <c r="N8">
        <v>1.1098812042933301E-2</v>
      </c>
      <c r="O8">
        <v>2.4907062153585988E-2</v>
      </c>
      <c r="P8" s="1">
        <v>0.47083333333333333</v>
      </c>
      <c r="Q8" s="1">
        <v>0.47226851851851848</v>
      </c>
      <c r="R8">
        <v>7</v>
      </c>
      <c r="S8">
        <v>6</v>
      </c>
      <c r="T8">
        <v>66.76954068685302</v>
      </c>
      <c r="U8">
        <v>55.822625495773977</v>
      </c>
      <c r="V8">
        <v>61.190666666666658</v>
      </c>
      <c r="W8">
        <v>0.55159139784946176</v>
      </c>
      <c r="X8">
        <v>1.196286753194932E-2</v>
      </c>
      <c r="Y8">
        <v>2.7260458455474281E-2</v>
      </c>
      <c r="Z8" s="1">
        <v>0.47228009259259263</v>
      </c>
      <c r="AA8" s="1">
        <v>0.47365740740740742</v>
      </c>
      <c r="AB8">
        <v>0</v>
      </c>
      <c r="AD8">
        <v>59.53011363636363</v>
      </c>
      <c r="AE8">
        <v>0.53843181818181818</v>
      </c>
      <c r="AF8">
        <v>1.1731117953341899E-2</v>
      </c>
      <c r="AG8">
        <v>2.66785582510293E-2</v>
      </c>
      <c r="AH8" s="11">
        <v>0.47366898148148151</v>
      </c>
      <c r="AI8" s="1">
        <v>0.47480324074074082</v>
      </c>
      <c r="AJ8">
        <v>6</v>
      </c>
      <c r="AK8">
        <v>5</v>
      </c>
      <c r="AL8">
        <v>359.78938633000729</v>
      </c>
      <c r="AM8">
        <v>522.98641708253695</v>
      </c>
      <c r="AN8">
        <v>47.768410958904113</v>
      </c>
      <c r="AO8">
        <v>0.49104109589041017</v>
      </c>
      <c r="AP8">
        <v>1.121840108758735E-2</v>
      </c>
      <c r="AQ8">
        <v>3.0235747378503031E-2</v>
      </c>
      <c r="AR8" s="7">
        <v>0.47430555555555548</v>
      </c>
      <c r="AS8" s="10">
        <v>0.47569444444444442</v>
      </c>
      <c r="AT8">
        <v>255.21015895407359</v>
      </c>
      <c r="AU8">
        <v>335.33289153935982</v>
      </c>
      <c r="AV8">
        <v>37.987322033898302</v>
      </c>
      <c r="AW8">
        <v>0.55532203389830481</v>
      </c>
      <c r="AX8">
        <v>1.08402961414773E-2</v>
      </c>
      <c r="AY8">
        <v>2.7486419263461171E-2</v>
      </c>
      <c r="AZ8" s="7">
        <v>0.47569444444444442</v>
      </c>
      <c r="BA8" s="7">
        <v>0.48194444444444451</v>
      </c>
      <c r="BB8" t="s">
        <v>158</v>
      </c>
      <c r="BC8" t="s">
        <v>159</v>
      </c>
      <c r="BD8" t="s">
        <v>160</v>
      </c>
      <c r="BE8" t="s">
        <v>161</v>
      </c>
      <c r="BF8" t="s">
        <v>159</v>
      </c>
      <c r="BG8" t="s">
        <v>161</v>
      </c>
      <c r="BH8" t="s">
        <v>159</v>
      </c>
      <c r="BI8" t="s">
        <v>162</v>
      </c>
      <c r="BJ8" t="s">
        <v>163</v>
      </c>
      <c r="BK8" t="s">
        <v>162</v>
      </c>
      <c r="BL8" t="s">
        <v>164</v>
      </c>
      <c r="BM8" t="s">
        <v>161</v>
      </c>
      <c r="BN8" t="s">
        <v>159</v>
      </c>
      <c r="BO8" t="s">
        <v>161</v>
      </c>
      <c r="BP8" t="s">
        <v>159</v>
      </c>
      <c r="BQ8" t="s">
        <v>162</v>
      </c>
      <c r="BR8" t="s">
        <v>165</v>
      </c>
      <c r="BS8" t="s">
        <v>162</v>
      </c>
      <c r="BT8" t="s">
        <v>166</v>
      </c>
      <c r="BU8" t="s">
        <v>167</v>
      </c>
      <c r="BV8" t="s">
        <v>168</v>
      </c>
      <c r="BW8" t="s">
        <v>169</v>
      </c>
      <c r="BX8" t="s">
        <v>170</v>
      </c>
      <c r="BY8" t="s">
        <v>171</v>
      </c>
      <c r="BZ8" t="s">
        <v>172</v>
      </c>
      <c r="CA8" t="s">
        <v>172</v>
      </c>
      <c r="CB8" t="s">
        <v>169</v>
      </c>
      <c r="CC8" t="s">
        <v>173</v>
      </c>
      <c r="CD8" t="s">
        <v>170</v>
      </c>
      <c r="CE8" t="s">
        <v>170</v>
      </c>
      <c r="CF8" t="s">
        <v>169</v>
      </c>
      <c r="CG8" t="s">
        <v>170</v>
      </c>
      <c r="CH8" t="s">
        <v>171</v>
      </c>
      <c r="CI8" t="s">
        <v>170</v>
      </c>
      <c r="CJ8" t="s">
        <v>169</v>
      </c>
      <c r="CK8" t="s">
        <v>174</v>
      </c>
      <c r="CL8" t="s">
        <v>175</v>
      </c>
      <c r="CM8" t="s">
        <v>175</v>
      </c>
      <c r="CN8" t="s">
        <v>175</v>
      </c>
      <c r="CO8">
        <v>421.7678623192694</v>
      </c>
      <c r="CP8">
        <v>549.64681708294688</v>
      </c>
      <c r="CQ8">
        <v>271.37619638242887</v>
      </c>
      <c r="CR8">
        <v>0.55147286821705521</v>
      </c>
      <c r="CS8">
        <v>1.172755534200254E-2</v>
      </c>
      <c r="CT8">
        <v>2.240578697968269E-2</v>
      </c>
    </row>
    <row r="9" spans="1:98">
      <c r="A9">
        <v>8</v>
      </c>
      <c r="B9" t="s">
        <v>137</v>
      </c>
      <c r="C9" t="s">
        <v>125</v>
      </c>
      <c r="D9">
        <v>24</v>
      </c>
      <c r="E9" t="s">
        <v>138</v>
      </c>
      <c r="F9" t="s">
        <v>157</v>
      </c>
      <c r="G9" s="1">
        <v>0.58518518518518514</v>
      </c>
      <c r="H9" s="1">
        <v>0.58611111111111114</v>
      </c>
      <c r="I9" s="1">
        <v>0.58750000000000002</v>
      </c>
      <c r="J9">
        <v>88.730912035220541</v>
      </c>
      <c r="K9">
        <v>100.28498864420619</v>
      </c>
      <c r="L9">
        <v>59.517761904761898</v>
      </c>
      <c r="M9">
        <v>0.56280952380952443</v>
      </c>
      <c r="N9">
        <v>1.3647108743424379E-2</v>
      </c>
      <c r="O9">
        <v>2.802273251614287E-2</v>
      </c>
      <c r="P9" s="1">
        <v>0.58751157407407406</v>
      </c>
      <c r="Q9" s="1">
        <v>0.58878472222222222</v>
      </c>
      <c r="R9">
        <v>7</v>
      </c>
      <c r="S9">
        <v>6</v>
      </c>
      <c r="T9">
        <v>53.501622762606559</v>
      </c>
      <c r="U9">
        <v>47.945712706210323</v>
      </c>
      <c r="V9">
        <v>50.196904109589042</v>
      </c>
      <c r="W9">
        <v>0.5414246575342464</v>
      </c>
      <c r="X9">
        <v>1.1622686785548571E-2</v>
      </c>
      <c r="Y9">
        <v>2.1114465309052269E-2</v>
      </c>
      <c r="Z9" s="1">
        <v>0.58888888888888891</v>
      </c>
      <c r="AA9" s="1">
        <v>0.59027777777777779</v>
      </c>
      <c r="AB9">
        <v>54.3468531510022</v>
      </c>
      <c r="AC9">
        <v>50.276199165525682</v>
      </c>
      <c r="AD9">
        <v>58.734329670329679</v>
      </c>
      <c r="AE9">
        <v>0.54872527472527444</v>
      </c>
      <c r="AF9">
        <v>1.19053671220315E-2</v>
      </c>
      <c r="AG9">
        <v>2.263774968960084E-2</v>
      </c>
      <c r="AH9" s="1">
        <v>0.59028935185185183</v>
      </c>
      <c r="AI9" s="1">
        <v>0.59146990740740746</v>
      </c>
      <c r="AJ9">
        <v>6</v>
      </c>
      <c r="AK9">
        <v>6</v>
      </c>
      <c r="AL9">
        <v>50.584678158801452</v>
      </c>
      <c r="AM9">
        <v>42.481737094629189</v>
      </c>
      <c r="AN9">
        <v>50.942639999999997</v>
      </c>
      <c r="AO9">
        <v>0.51349333333333358</v>
      </c>
      <c r="AP9">
        <v>1.136519092652662E-2</v>
      </c>
      <c r="AQ9">
        <v>2.0959292728499251E-2</v>
      </c>
      <c r="AR9" s="7">
        <v>0.59166666666666667</v>
      </c>
      <c r="AS9" s="7">
        <v>0.59305555555555556</v>
      </c>
      <c r="AT9">
        <v>70.521647840938599</v>
      </c>
      <c r="AU9">
        <v>50.067283921285721</v>
      </c>
      <c r="AV9">
        <v>60.657550561797763</v>
      </c>
      <c r="AW9">
        <v>0.4452808988764051</v>
      </c>
      <c r="AX9">
        <v>1.140136798799281E-2</v>
      </c>
      <c r="AY9">
        <v>2.1188070217468571E-2</v>
      </c>
      <c r="AZ9" s="7">
        <v>0.59305555555555556</v>
      </c>
      <c r="BA9" s="7">
        <v>0.59791666666666665</v>
      </c>
      <c r="BB9" t="s">
        <v>176</v>
      </c>
      <c r="BC9" t="s">
        <v>159</v>
      </c>
      <c r="BD9" t="s">
        <v>177</v>
      </c>
      <c r="BE9" t="s">
        <v>178</v>
      </c>
      <c r="BF9" t="s">
        <v>159</v>
      </c>
      <c r="BG9" t="s">
        <v>178</v>
      </c>
      <c r="BH9" t="s">
        <v>159</v>
      </c>
      <c r="BI9" t="s">
        <v>179</v>
      </c>
      <c r="BJ9" t="s">
        <v>180</v>
      </c>
      <c r="BK9" t="s">
        <v>179</v>
      </c>
      <c r="BL9" t="s">
        <v>181</v>
      </c>
      <c r="BM9" t="s">
        <v>179</v>
      </c>
      <c r="BN9" t="s">
        <v>182</v>
      </c>
      <c r="BO9" t="s">
        <v>179</v>
      </c>
      <c r="BP9" t="s">
        <v>183</v>
      </c>
      <c r="BQ9" t="s">
        <v>179</v>
      </c>
      <c r="BR9" t="s">
        <v>184</v>
      </c>
      <c r="BS9" t="s">
        <v>179</v>
      </c>
      <c r="BT9" t="s">
        <v>185</v>
      </c>
      <c r="BU9" t="s">
        <v>186</v>
      </c>
      <c r="BV9" t="s">
        <v>187</v>
      </c>
      <c r="BW9" t="s">
        <v>172</v>
      </c>
      <c r="BX9" t="s">
        <v>171</v>
      </c>
      <c r="BY9" t="s">
        <v>169</v>
      </c>
      <c r="BZ9" t="s">
        <v>170</v>
      </c>
      <c r="CA9" t="s">
        <v>172</v>
      </c>
      <c r="CB9" t="s">
        <v>173</v>
      </c>
      <c r="CC9" t="s">
        <v>171</v>
      </c>
      <c r="CD9" t="s">
        <v>169</v>
      </c>
      <c r="CE9" t="s">
        <v>170</v>
      </c>
      <c r="CF9" t="s">
        <v>171</v>
      </c>
      <c r="CH9" t="s">
        <v>172</v>
      </c>
      <c r="CI9" t="s">
        <v>173</v>
      </c>
      <c r="CJ9" t="s">
        <v>171</v>
      </c>
      <c r="CK9" t="s">
        <v>172</v>
      </c>
      <c r="CL9" t="s">
        <v>174</v>
      </c>
      <c r="CM9" t="s">
        <v>175</v>
      </c>
      <c r="CN9" t="s">
        <v>175</v>
      </c>
      <c r="CO9">
        <v>42.857210792709502</v>
      </c>
      <c r="CP9">
        <v>44.4735116494534</v>
      </c>
      <c r="CQ9">
        <v>208.636662295082</v>
      </c>
      <c r="CR9">
        <v>0.53359344262295183</v>
      </c>
      <c r="CS9">
        <v>1.0276141385269401E-2</v>
      </c>
      <c r="CT9">
        <v>1.7743052027602631E-2</v>
      </c>
    </row>
    <row r="10" spans="1:98">
      <c r="A10">
        <v>9</v>
      </c>
      <c r="B10" t="s">
        <v>188</v>
      </c>
      <c r="C10" t="s">
        <v>95</v>
      </c>
      <c r="D10">
        <v>32</v>
      </c>
      <c r="E10" t="s">
        <v>189</v>
      </c>
      <c r="F10" t="s">
        <v>190</v>
      </c>
      <c r="G10" s="1">
        <v>0.38465277777777779</v>
      </c>
      <c r="H10" s="1">
        <v>0.38680555555555562</v>
      </c>
      <c r="I10" s="1">
        <v>0.38819444444444451</v>
      </c>
      <c r="J10">
        <v>146.20855460336779</v>
      </c>
      <c r="K10">
        <v>190.62153011120091</v>
      </c>
      <c r="L10">
        <v>60.017222222222223</v>
      </c>
      <c r="M10">
        <v>0.55117777777777699</v>
      </c>
      <c r="N10">
        <v>1.117858026255133E-2</v>
      </c>
      <c r="O10">
        <v>2.037535416545419E-2</v>
      </c>
      <c r="P10" s="1">
        <v>0.39208333333333328</v>
      </c>
      <c r="Q10" s="1">
        <v>0.39336805555555548</v>
      </c>
      <c r="R10">
        <v>8</v>
      </c>
      <c r="S10">
        <v>8</v>
      </c>
      <c r="T10">
        <v>37.427884249977097</v>
      </c>
      <c r="U10">
        <v>53.667928740938812</v>
      </c>
      <c r="V10">
        <v>54.938000000000002</v>
      </c>
      <c r="W10">
        <v>0.50762500000000033</v>
      </c>
      <c r="X10">
        <v>1.069751036360512E-2</v>
      </c>
      <c r="Y10">
        <v>1.9655667622510951E-2</v>
      </c>
      <c r="Z10" s="1">
        <v>0.39337962962962958</v>
      </c>
      <c r="AA10" s="1">
        <v>0.39462962962962961</v>
      </c>
      <c r="AB10">
        <v>93.789411814201358</v>
      </c>
      <c r="AC10">
        <v>120.9976015482121</v>
      </c>
      <c r="AD10">
        <v>54.739443037974667</v>
      </c>
      <c r="AE10">
        <v>0.48475949367088561</v>
      </c>
      <c r="AF10">
        <v>1.1380587680446041E-2</v>
      </c>
      <c r="AG10">
        <v>2.1241582142455511E-2</v>
      </c>
      <c r="AH10" s="1">
        <v>0.3946412037037037</v>
      </c>
      <c r="AI10" s="1">
        <v>0.3959259259259259</v>
      </c>
      <c r="AJ10">
        <v>8</v>
      </c>
      <c r="AK10">
        <v>8</v>
      </c>
      <c r="AL10">
        <v>91.116985060102792</v>
      </c>
      <c r="AM10">
        <v>121.44300179328511</v>
      </c>
      <c r="AN10">
        <v>56.699397590361443</v>
      </c>
      <c r="AO10">
        <v>0.49004819277108408</v>
      </c>
      <c r="AP10">
        <v>1.2025615215398119E-2</v>
      </c>
      <c r="AQ10">
        <v>2.2056145721707641E-2</v>
      </c>
      <c r="AR10" s="7">
        <v>0.39583333333333331</v>
      </c>
      <c r="AS10" s="7">
        <v>0.3972222222222222</v>
      </c>
      <c r="AT10">
        <v>102.0951832202758</v>
      </c>
      <c r="AU10">
        <v>139.7805820245118</v>
      </c>
      <c r="AV10">
        <v>52.758560975609747</v>
      </c>
      <c r="AW10">
        <v>0.52136585365853605</v>
      </c>
      <c r="AX10">
        <v>9.2112220626865624E-3</v>
      </c>
      <c r="AY10">
        <v>1.711428352202686E-2</v>
      </c>
      <c r="AZ10" s="7">
        <v>0.3972222222222222</v>
      </c>
      <c r="BA10" s="7">
        <v>0.40138888888888891</v>
      </c>
      <c r="BB10" t="s">
        <v>178</v>
      </c>
      <c r="BC10" t="s">
        <v>159</v>
      </c>
      <c r="BD10" t="s">
        <v>178</v>
      </c>
      <c r="BE10" t="s">
        <v>178</v>
      </c>
      <c r="BF10" t="s">
        <v>159</v>
      </c>
      <c r="BG10" t="s">
        <v>178</v>
      </c>
      <c r="BH10" t="s">
        <v>159</v>
      </c>
      <c r="BI10" t="s">
        <v>178</v>
      </c>
      <c r="BJ10" t="s">
        <v>159</v>
      </c>
      <c r="BK10" t="s">
        <v>179</v>
      </c>
      <c r="BL10" t="s">
        <v>191</v>
      </c>
      <c r="BM10" t="s">
        <v>178</v>
      </c>
      <c r="BN10" t="s">
        <v>159</v>
      </c>
      <c r="BO10" t="s">
        <v>178</v>
      </c>
      <c r="BP10" t="s">
        <v>159</v>
      </c>
      <c r="BQ10" t="s">
        <v>178</v>
      </c>
      <c r="BR10" t="s">
        <v>159</v>
      </c>
      <c r="BS10" t="s">
        <v>178</v>
      </c>
      <c r="BT10" t="s">
        <v>159</v>
      </c>
      <c r="BU10" t="s">
        <v>192</v>
      </c>
      <c r="BV10" t="s">
        <v>193</v>
      </c>
      <c r="BW10" t="s">
        <v>171</v>
      </c>
      <c r="BX10" t="s">
        <v>172</v>
      </c>
      <c r="BY10" t="s">
        <v>171</v>
      </c>
      <c r="BZ10" t="s">
        <v>171</v>
      </c>
      <c r="CA10" t="s">
        <v>173</v>
      </c>
      <c r="CB10" t="s">
        <v>170</v>
      </c>
      <c r="CC10" t="s">
        <v>172</v>
      </c>
      <c r="CD10" t="s">
        <v>171</v>
      </c>
      <c r="CE10" t="s">
        <v>171</v>
      </c>
      <c r="CF10" t="s">
        <v>172</v>
      </c>
      <c r="CH10" t="s">
        <v>171</v>
      </c>
      <c r="CI10" t="s">
        <v>170</v>
      </c>
      <c r="CJ10" t="s">
        <v>170</v>
      </c>
      <c r="CK10" t="s">
        <v>171</v>
      </c>
      <c r="CL10" t="s">
        <v>174</v>
      </c>
      <c r="CM10" t="s">
        <v>175</v>
      </c>
      <c r="CN10" t="s">
        <v>194</v>
      </c>
      <c r="CO10">
        <v>102.6730695101712</v>
      </c>
      <c r="CP10">
        <v>133.06480535529511</v>
      </c>
      <c r="CQ10">
        <v>181.80618532818531</v>
      </c>
      <c r="CR10">
        <v>0.53673359073359073</v>
      </c>
      <c r="CS10">
        <v>1.004412155303216E-2</v>
      </c>
      <c r="CT10">
        <v>1.6893147724607021E-2</v>
      </c>
    </row>
    <row r="11" spans="1:98">
      <c r="A11">
        <v>10</v>
      </c>
      <c r="B11" t="s">
        <v>137</v>
      </c>
      <c r="C11" t="s">
        <v>95</v>
      </c>
      <c r="D11">
        <v>31</v>
      </c>
      <c r="E11" t="s">
        <v>119</v>
      </c>
      <c r="F11" t="s">
        <v>190</v>
      </c>
      <c r="G11" s="1">
        <v>0.44142361111111111</v>
      </c>
      <c r="H11" s="1">
        <v>0.44722222222222219</v>
      </c>
      <c r="I11" s="1">
        <v>0.44861111111111113</v>
      </c>
      <c r="J11">
        <v>62.081738562686951</v>
      </c>
      <c r="K11">
        <v>56.913418935273839</v>
      </c>
      <c r="L11">
        <v>58.53042857142858</v>
      </c>
      <c r="M11">
        <v>0.52699999999999991</v>
      </c>
      <c r="N11">
        <v>7.5966674326174276E-3</v>
      </c>
      <c r="O11">
        <v>1.714934874279964E-2</v>
      </c>
      <c r="P11" s="1">
        <v>0.44862268518518522</v>
      </c>
      <c r="Q11" s="1">
        <v>0.44958333333333328</v>
      </c>
      <c r="R11">
        <v>6</v>
      </c>
      <c r="S11">
        <v>5</v>
      </c>
      <c r="T11">
        <v>47.899240018367301</v>
      </c>
      <c r="U11">
        <v>41.337547009863947</v>
      </c>
      <c r="V11">
        <v>40.452915254237283</v>
      </c>
      <c r="W11">
        <v>0.55644067796610142</v>
      </c>
      <c r="X11">
        <v>8.2715626352060853E-3</v>
      </c>
      <c r="Y11">
        <v>2.53655022559343E-2</v>
      </c>
      <c r="Z11" s="1">
        <v>0.44959490740740737</v>
      </c>
      <c r="AA11" s="1">
        <v>0.45069444444444451</v>
      </c>
      <c r="AB11">
        <v>469.55703543213008</v>
      </c>
      <c r="AC11">
        <v>655.49879226941971</v>
      </c>
      <c r="AD11">
        <v>48.405432835820889</v>
      </c>
      <c r="AE11">
        <v>0.48599999999999971</v>
      </c>
      <c r="AF11">
        <v>7.300844311026425E-3</v>
      </c>
      <c r="AG11">
        <v>2.334839578907702E-2</v>
      </c>
      <c r="AH11" s="1">
        <v>0.45078703703703699</v>
      </c>
      <c r="AI11" s="1">
        <v>0.45168981481481479</v>
      </c>
      <c r="AJ11">
        <v>6</v>
      </c>
      <c r="AK11">
        <v>5</v>
      </c>
      <c r="AL11">
        <v>258.30185182711432</v>
      </c>
      <c r="AM11">
        <v>326.86754397515182</v>
      </c>
      <c r="AN11">
        <v>35.582749999999997</v>
      </c>
      <c r="AO11">
        <v>0.65975000000000072</v>
      </c>
      <c r="AP11">
        <v>7.5613306561052862E-2</v>
      </c>
      <c r="AQ11">
        <v>0.14592173200706501</v>
      </c>
      <c r="AR11" s="7">
        <v>0.4513888888888889</v>
      </c>
      <c r="AS11" s="7">
        <v>0.45277777777777778</v>
      </c>
      <c r="AT11">
        <v>82.245391043061744</v>
      </c>
      <c r="AU11">
        <v>110.55810984352971</v>
      </c>
      <c r="AV11">
        <v>46.41701449275363</v>
      </c>
      <c r="AW11">
        <v>0.53339130434782678</v>
      </c>
      <c r="AX11">
        <v>9.6306746241146823E-3</v>
      </c>
      <c r="AY11">
        <v>4.1443628532723688E-2</v>
      </c>
      <c r="AZ11" s="7">
        <v>0.45277777777777778</v>
      </c>
      <c r="BA11" s="7">
        <v>0.45555555555555549</v>
      </c>
      <c r="BB11" t="s">
        <v>195</v>
      </c>
      <c r="BC11" t="s">
        <v>196</v>
      </c>
      <c r="BD11" t="s">
        <v>197</v>
      </c>
      <c r="BE11" t="s">
        <v>178</v>
      </c>
      <c r="BF11" t="s">
        <v>198</v>
      </c>
      <c r="BG11" t="s">
        <v>179</v>
      </c>
      <c r="BH11" t="s">
        <v>199</v>
      </c>
      <c r="BI11" t="s">
        <v>179</v>
      </c>
      <c r="BJ11" t="s">
        <v>200</v>
      </c>
      <c r="BK11" t="s">
        <v>179</v>
      </c>
      <c r="BL11" t="s">
        <v>201</v>
      </c>
      <c r="BM11" t="s">
        <v>179</v>
      </c>
      <c r="BN11" t="s">
        <v>202</v>
      </c>
      <c r="BO11" t="s">
        <v>179</v>
      </c>
      <c r="BP11" t="s">
        <v>203</v>
      </c>
      <c r="BQ11" t="s">
        <v>178</v>
      </c>
      <c r="BR11" t="s">
        <v>159</v>
      </c>
      <c r="BS11" t="s">
        <v>179</v>
      </c>
      <c r="BT11" t="s">
        <v>204</v>
      </c>
      <c r="BU11" t="s">
        <v>205</v>
      </c>
      <c r="BV11" t="s">
        <v>206</v>
      </c>
      <c r="BW11" t="s">
        <v>171</v>
      </c>
      <c r="BX11" t="s">
        <v>170</v>
      </c>
      <c r="BY11" t="s">
        <v>170</v>
      </c>
      <c r="BZ11" t="s">
        <v>171</v>
      </c>
      <c r="CA11" t="s">
        <v>171</v>
      </c>
      <c r="CB11" t="s">
        <v>172</v>
      </c>
      <c r="CC11" t="s">
        <v>170</v>
      </c>
      <c r="CD11" t="s">
        <v>173</v>
      </c>
      <c r="CE11" t="s">
        <v>171</v>
      </c>
      <c r="CF11" t="s">
        <v>170</v>
      </c>
      <c r="CH11" t="s">
        <v>171</v>
      </c>
      <c r="CI11" t="s">
        <v>170</v>
      </c>
      <c r="CJ11" t="s">
        <v>170</v>
      </c>
      <c r="CK11" t="s">
        <v>171</v>
      </c>
      <c r="CL11" t="s">
        <v>207</v>
      </c>
      <c r="CM11" t="s">
        <v>208</v>
      </c>
      <c r="CN11" t="s">
        <v>194</v>
      </c>
      <c r="CO11">
        <v>58.866460366458348</v>
      </c>
      <c r="CP11">
        <v>48.215097761737979</v>
      </c>
      <c r="CQ11">
        <v>121.867</v>
      </c>
      <c r="CR11">
        <v>0.5578181818181801</v>
      </c>
      <c r="CS11">
        <v>1.3161300527330321E-2</v>
      </c>
      <c r="CT11">
        <v>2.5431657817214549E-2</v>
      </c>
    </row>
    <row r="12" spans="1:98">
      <c r="A12">
        <v>11</v>
      </c>
      <c r="B12" t="s">
        <v>209</v>
      </c>
      <c r="C12" t="s">
        <v>95</v>
      </c>
      <c r="D12">
        <v>29</v>
      </c>
      <c r="E12" t="s">
        <v>138</v>
      </c>
      <c r="F12" t="s">
        <v>190</v>
      </c>
      <c r="G12" s="1">
        <v>0.54937499999999995</v>
      </c>
      <c r="H12" s="1">
        <v>0.5541666666666667</v>
      </c>
      <c r="I12" s="1">
        <v>0.55555555555555558</v>
      </c>
      <c r="J12">
        <v>95.982434957508744</v>
      </c>
      <c r="K12">
        <v>122.20568850520139</v>
      </c>
      <c r="L12">
        <v>58.133448275862072</v>
      </c>
      <c r="M12">
        <v>0.51383908045977023</v>
      </c>
      <c r="N12">
        <v>9.2462536543948589E-3</v>
      </c>
      <c r="O12">
        <v>2.3102987483346899E-2</v>
      </c>
      <c r="P12" s="1">
        <v>0.55556712962962962</v>
      </c>
      <c r="Q12" s="1">
        <v>0.55687500000000001</v>
      </c>
      <c r="R12">
        <v>6</v>
      </c>
      <c r="S12">
        <v>5</v>
      </c>
      <c r="T12">
        <v>95.542726455845042</v>
      </c>
      <c r="U12">
        <v>90.801878461162261</v>
      </c>
      <c r="V12">
        <v>56.582317073170742</v>
      </c>
      <c r="W12">
        <v>0.47170731707316987</v>
      </c>
      <c r="X12">
        <v>1.009611079050283E-2</v>
      </c>
      <c r="Y12">
        <v>2.494770533352798E-2</v>
      </c>
      <c r="Z12" s="1">
        <v>0.55694444444444446</v>
      </c>
      <c r="AA12" s="1">
        <v>0.55833333333333335</v>
      </c>
      <c r="AB12">
        <v>492.76952016130139</v>
      </c>
      <c r="AD12">
        <v>41.45809677419355</v>
      </c>
      <c r="AE12">
        <v>0.50338709677419335</v>
      </c>
      <c r="AF12">
        <v>1.0665254569825941E-2</v>
      </c>
      <c r="AG12">
        <v>2.8770200861865089E-2</v>
      </c>
      <c r="AH12" s="1">
        <v>0.55834490740740739</v>
      </c>
      <c r="AI12" s="1">
        <v>0.5593055555555555</v>
      </c>
      <c r="AJ12">
        <v>5</v>
      </c>
      <c r="AK12">
        <v>4</v>
      </c>
      <c r="AL12">
        <v>74.059190061545891</v>
      </c>
      <c r="AM12">
        <v>666.99342468380189</v>
      </c>
      <c r="AN12">
        <v>47.62141176470589</v>
      </c>
      <c r="AO12">
        <v>0.51620588235294085</v>
      </c>
      <c r="AP12">
        <v>8.5482946936614925E-3</v>
      </c>
      <c r="AQ12">
        <v>2.5575821723539269E-2</v>
      </c>
      <c r="AR12" s="7">
        <v>0.55902777777777779</v>
      </c>
      <c r="AS12" s="7">
        <v>0.56041666666666667</v>
      </c>
      <c r="AT12">
        <v>56.868297643787258</v>
      </c>
      <c r="AU12">
        <v>70.933935379377729</v>
      </c>
      <c r="AV12">
        <v>239.1341095100864</v>
      </c>
      <c r="AW12">
        <v>0.53866858789625238</v>
      </c>
      <c r="AX12">
        <v>8.9072574629800241E-3</v>
      </c>
      <c r="AY12">
        <v>1.7951624010660319E-2</v>
      </c>
      <c r="AZ12" s="7">
        <v>0.56041666666666667</v>
      </c>
      <c r="BA12" s="7">
        <v>0.56597222222222221</v>
      </c>
      <c r="BB12" t="s">
        <v>210</v>
      </c>
      <c r="BC12" t="s">
        <v>211</v>
      </c>
      <c r="BD12" t="s">
        <v>212</v>
      </c>
      <c r="BE12" t="s">
        <v>133</v>
      </c>
      <c r="BF12" t="s">
        <v>129</v>
      </c>
      <c r="BG12" t="s">
        <v>131</v>
      </c>
      <c r="BH12" t="s">
        <v>213</v>
      </c>
      <c r="BI12" t="s">
        <v>133</v>
      </c>
      <c r="BJ12" t="s">
        <v>129</v>
      </c>
      <c r="BK12" t="s">
        <v>133</v>
      </c>
      <c r="BL12" t="s">
        <v>129</v>
      </c>
      <c r="BM12" t="s">
        <v>133</v>
      </c>
      <c r="BN12" t="s">
        <v>129</v>
      </c>
      <c r="BO12" t="s">
        <v>131</v>
      </c>
      <c r="BP12" t="s">
        <v>214</v>
      </c>
      <c r="BQ12" t="s">
        <v>133</v>
      </c>
      <c r="BR12" t="s">
        <v>129</v>
      </c>
      <c r="BS12" t="s">
        <v>131</v>
      </c>
      <c r="BT12" t="s">
        <v>215</v>
      </c>
      <c r="BU12" t="s">
        <v>216</v>
      </c>
      <c r="BV12" t="s">
        <v>217</v>
      </c>
      <c r="BW12" t="s">
        <v>114</v>
      </c>
      <c r="BX12" t="s">
        <v>113</v>
      </c>
      <c r="BY12" t="s">
        <v>114</v>
      </c>
      <c r="BZ12" t="s">
        <v>111</v>
      </c>
      <c r="CA12" t="s">
        <v>114</v>
      </c>
      <c r="CB12" t="s">
        <v>113</v>
      </c>
      <c r="CC12" t="s">
        <v>123</v>
      </c>
      <c r="CD12" t="s">
        <v>112</v>
      </c>
      <c r="CE12" t="s">
        <v>123</v>
      </c>
      <c r="CF12" t="s">
        <v>113</v>
      </c>
      <c r="CG12" t="s">
        <v>114</v>
      </c>
      <c r="CH12" t="s">
        <v>112</v>
      </c>
      <c r="CI12" t="s">
        <v>111</v>
      </c>
      <c r="CJ12" t="s">
        <v>113</v>
      </c>
      <c r="CK12" t="s">
        <v>114</v>
      </c>
      <c r="CL12" t="s">
        <v>117</v>
      </c>
      <c r="CM12" t="s">
        <v>116</v>
      </c>
      <c r="CN12" t="s">
        <v>116</v>
      </c>
      <c r="CO12">
        <v>50.587687516262719</v>
      </c>
      <c r="CP12">
        <v>67.341562224869975</v>
      </c>
      <c r="CQ12">
        <v>59.638390804597698</v>
      </c>
      <c r="CR12">
        <v>0.47165517241379262</v>
      </c>
      <c r="CS12">
        <v>1.011025531124779E-2</v>
      </c>
      <c r="CT12">
        <v>2.4909401666875219E-2</v>
      </c>
    </row>
    <row r="13" spans="1:98">
      <c r="A13">
        <v>12</v>
      </c>
      <c r="B13" t="s">
        <v>99</v>
      </c>
      <c r="C13" t="s">
        <v>95</v>
      </c>
      <c r="D13">
        <v>21</v>
      </c>
      <c r="E13" t="s">
        <v>156</v>
      </c>
      <c r="F13" t="s">
        <v>190</v>
      </c>
      <c r="G13" s="1">
        <v>0.61192129629629632</v>
      </c>
      <c r="H13" s="1">
        <v>0.61250000000000004</v>
      </c>
      <c r="I13" s="1">
        <v>0.61388888888888893</v>
      </c>
      <c r="J13">
        <v>61.295566723123919</v>
      </c>
      <c r="K13">
        <v>72.987700469938943</v>
      </c>
      <c r="L13">
        <v>60.423355555555553</v>
      </c>
      <c r="M13">
        <v>0.4958444444444437</v>
      </c>
      <c r="N13">
        <v>1.2477583223259189E-2</v>
      </c>
      <c r="O13">
        <v>3.3753017611094172E-2</v>
      </c>
      <c r="P13" s="1">
        <v>0.61390046296296297</v>
      </c>
      <c r="Q13" s="1">
        <v>0.61444444444444446</v>
      </c>
      <c r="R13">
        <v>3</v>
      </c>
      <c r="S13">
        <v>2</v>
      </c>
      <c r="T13">
        <v>689.14705735907114</v>
      </c>
      <c r="U13">
        <v>707.90300653879603</v>
      </c>
      <c r="V13">
        <v>23.360342857142861</v>
      </c>
      <c r="W13">
        <v>0.45805714285714227</v>
      </c>
      <c r="X13">
        <v>1.809538855671073E-2</v>
      </c>
      <c r="Y13">
        <v>6.7008511150631112E-2</v>
      </c>
      <c r="Z13" s="1">
        <v>0.61458333333333337</v>
      </c>
      <c r="AA13" s="1">
        <v>0.61597222222222225</v>
      </c>
      <c r="AB13">
        <v>326.02341435211912</v>
      </c>
      <c r="AC13">
        <v>457.16679332939032</v>
      </c>
      <c r="AD13">
        <v>58.379243902439022</v>
      </c>
      <c r="AE13">
        <v>0.44912195121951098</v>
      </c>
      <c r="AF13">
        <v>1.8843731960880648E-2</v>
      </c>
      <c r="AG13">
        <v>5.139958109004017E-2</v>
      </c>
      <c r="AH13" s="1">
        <v>0.61712962962962958</v>
      </c>
      <c r="AI13" s="1">
        <v>0.61821759259259257</v>
      </c>
      <c r="AJ13">
        <v>6</v>
      </c>
      <c r="AK13">
        <v>6</v>
      </c>
      <c r="AL13">
        <v>203.66636833449499</v>
      </c>
      <c r="AM13">
        <v>186.71045469691859</v>
      </c>
      <c r="AN13">
        <v>48.046781250000002</v>
      </c>
      <c r="AO13">
        <v>0.49046874999999979</v>
      </c>
      <c r="AP13">
        <v>2.095546182173948E-2</v>
      </c>
      <c r="AQ13">
        <v>7.300023971534321E-2</v>
      </c>
      <c r="AR13" s="7">
        <v>0.61805555555555558</v>
      </c>
      <c r="AS13" s="7">
        <v>0.61944444444444446</v>
      </c>
      <c r="AT13">
        <v>79.072680191840831</v>
      </c>
      <c r="AU13">
        <v>17.242371155307271</v>
      </c>
      <c r="AV13">
        <v>51.930467532467532</v>
      </c>
      <c r="AW13">
        <v>0.45153246753246729</v>
      </c>
      <c r="AX13">
        <v>1.7508414343219061E-2</v>
      </c>
      <c r="AY13">
        <v>6.1122485706775448E-2</v>
      </c>
      <c r="AZ13" s="7">
        <v>0.61944444444444446</v>
      </c>
      <c r="BA13" s="7">
        <v>0.625</v>
      </c>
      <c r="BB13" t="s">
        <v>105</v>
      </c>
      <c r="BC13" t="s">
        <v>106</v>
      </c>
      <c r="BD13" t="s">
        <v>218</v>
      </c>
      <c r="BE13" t="s">
        <v>105</v>
      </c>
      <c r="BF13" t="s">
        <v>106</v>
      </c>
      <c r="BG13" t="s">
        <v>105</v>
      </c>
      <c r="BH13" t="s">
        <v>106</v>
      </c>
      <c r="BI13" t="s">
        <v>105</v>
      </c>
      <c r="BJ13" t="s">
        <v>106</v>
      </c>
      <c r="BK13" t="s">
        <v>105</v>
      </c>
      <c r="BL13" t="s">
        <v>106</v>
      </c>
      <c r="BM13" t="s">
        <v>105</v>
      </c>
      <c r="BN13" t="s">
        <v>106</v>
      </c>
      <c r="BO13" t="s">
        <v>105</v>
      </c>
      <c r="BP13" t="s">
        <v>106</v>
      </c>
      <c r="BQ13" t="s">
        <v>105</v>
      </c>
      <c r="BR13" t="s">
        <v>106</v>
      </c>
      <c r="BS13" t="s">
        <v>101</v>
      </c>
      <c r="BT13" t="s">
        <v>102</v>
      </c>
      <c r="BU13" t="s">
        <v>122</v>
      </c>
      <c r="BV13" t="s">
        <v>219</v>
      </c>
      <c r="BW13" t="s">
        <v>112</v>
      </c>
      <c r="BX13" t="s">
        <v>123</v>
      </c>
      <c r="BY13" t="s">
        <v>111</v>
      </c>
      <c r="BZ13" t="s">
        <v>112</v>
      </c>
      <c r="CA13" t="s">
        <v>112</v>
      </c>
      <c r="CB13" t="s">
        <v>123</v>
      </c>
      <c r="CC13" t="s">
        <v>111</v>
      </c>
      <c r="CD13" t="s">
        <v>111</v>
      </c>
      <c r="CE13" t="s">
        <v>112</v>
      </c>
      <c r="CF13" t="s">
        <v>111</v>
      </c>
      <c r="CG13" t="s">
        <v>112</v>
      </c>
      <c r="CH13" t="s">
        <v>112</v>
      </c>
      <c r="CI13" t="s">
        <v>111</v>
      </c>
      <c r="CJ13" t="s">
        <v>123</v>
      </c>
      <c r="CK13" t="s">
        <v>112</v>
      </c>
      <c r="CL13" t="s">
        <v>124</v>
      </c>
      <c r="CM13" t="s">
        <v>116</v>
      </c>
      <c r="CN13" t="s">
        <v>124</v>
      </c>
      <c r="CO13">
        <v>161.5613537000404</v>
      </c>
      <c r="CP13">
        <v>197.61685000353711</v>
      </c>
      <c r="CQ13">
        <v>242.09792615384609</v>
      </c>
      <c r="CR13">
        <v>0.52516923076922917</v>
      </c>
      <c r="CS13">
        <v>1.2086860372117061E-2</v>
      </c>
      <c r="CT13">
        <v>2.686290683225958E-2</v>
      </c>
    </row>
    <row r="14" spans="1:98">
      <c r="A14">
        <v>13</v>
      </c>
      <c r="B14" t="s">
        <v>99</v>
      </c>
      <c r="C14" t="s">
        <v>125</v>
      </c>
      <c r="D14">
        <v>24</v>
      </c>
      <c r="E14" t="s">
        <v>126</v>
      </c>
      <c r="F14" t="s">
        <v>220</v>
      </c>
      <c r="G14" s="1">
        <v>0.45401620370370371</v>
      </c>
      <c r="H14" s="1">
        <v>0.45416666666666672</v>
      </c>
      <c r="I14" s="1">
        <v>0.45555555555555549</v>
      </c>
      <c r="J14">
        <v>0</v>
      </c>
      <c r="L14">
        <v>662.32387923416798</v>
      </c>
      <c r="M14">
        <v>0.52171723122238411</v>
      </c>
      <c r="N14">
        <v>1.328475306714638E-2</v>
      </c>
      <c r="O14">
        <v>2.3207747323520659E-2</v>
      </c>
      <c r="P14" s="1">
        <v>0.45556712962962959</v>
      </c>
      <c r="Q14" s="1">
        <v>0.45658564814814823</v>
      </c>
      <c r="R14">
        <v>7</v>
      </c>
      <c r="S14">
        <v>7</v>
      </c>
      <c r="T14">
        <v>511.82887765345947</v>
      </c>
      <c r="U14">
        <v>518.03571305461173</v>
      </c>
      <c r="V14">
        <v>43.527382352941167</v>
      </c>
      <c r="W14">
        <v>0.52585294117647119</v>
      </c>
      <c r="X14">
        <v>1.139155927980897E-2</v>
      </c>
      <c r="Y14">
        <v>2.6479815187947991E-2</v>
      </c>
      <c r="Z14" s="1">
        <v>0.45659722222222221</v>
      </c>
      <c r="AA14" s="1">
        <v>0.45797453703703711</v>
      </c>
      <c r="AB14">
        <v>85.756045727878515</v>
      </c>
      <c r="AC14">
        <v>28.221396226426219</v>
      </c>
      <c r="AD14">
        <v>59.201488888888889</v>
      </c>
      <c r="AE14">
        <v>0.50711111111111162</v>
      </c>
      <c r="AF14">
        <v>1.0636856321654051E-2</v>
      </c>
      <c r="AG14">
        <v>2.3892530658047341E-2</v>
      </c>
      <c r="AH14" s="1">
        <v>0.45837962962962958</v>
      </c>
      <c r="AI14" s="1">
        <v>0.45950231481481479</v>
      </c>
      <c r="AJ14">
        <v>6</v>
      </c>
      <c r="AK14">
        <v>6</v>
      </c>
      <c r="AL14">
        <v>75.13895638850812</v>
      </c>
      <c r="AM14">
        <v>30.15936507268281</v>
      </c>
      <c r="AN14">
        <v>47.500542857142847</v>
      </c>
      <c r="AO14">
        <v>0.49331428571428548</v>
      </c>
      <c r="AP14">
        <v>1.0583042517836891E-2</v>
      </c>
      <c r="AQ14">
        <v>2.4663788650806741E-2</v>
      </c>
      <c r="AR14" s="7">
        <v>0.4597222222222222</v>
      </c>
      <c r="AS14" s="7">
        <v>0.46111111111111108</v>
      </c>
      <c r="AT14">
        <v>77.54259786141094</v>
      </c>
      <c r="AU14">
        <v>71.809577248548962</v>
      </c>
      <c r="AV14">
        <v>57.500711111111123</v>
      </c>
      <c r="AW14">
        <v>0.53417777777777808</v>
      </c>
      <c r="AX14">
        <v>1.004183374673732E-2</v>
      </c>
      <c r="AY14">
        <v>2.2658033425624891E-2</v>
      </c>
      <c r="AZ14" s="7">
        <v>0.46111111111111108</v>
      </c>
      <c r="BA14" s="7">
        <v>0.46805555555555561</v>
      </c>
      <c r="BB14" t="s">
        <v>221</v>
      </c>
      <c r="BC14" t="s">
        <v>222</v>
      </c>
      <c r="BD14" t="s">
        <v>223</v>
      </c>
      <c r="BE14" t="s">
        <v>131</v>
      </c>
      <c r="BF14" t="s">
        <v>224</v>
      </c>
      <c r="BG14" t="s">
        <v>225</v>
      </c>
      <c r="BH14" t="s">
        <v>226</v>
      </c>
      <c r="BI14" t="s">
        <v>101</v>
      </c>
      <c r="BJ14" t="s">
        <v>227</v>
      </c>
      <c r="BK14" t="s">
        <v>101</v>
      </c>
      <c r="BL14" t="s">
        <v>228</v>
      </c>
      <c r="BM14" t="s">
        <v>101</v>
      </c>
      <c r="BN14" t="s">
        <v>229</v>
      </c>
      <c r="BO14" t="s">
        <v>101</v>
      </c>
      <c r="BP14" t="s">
        <v>230</v>
      </c>
      <c r="BQ14" t="s">
        <v>101</v>
      </c>
      <c r="BR14" t="s">
        <v>231</v>
      </c>
      <c r="BS14" t="s">
        <v>101</v>
      </c>
      <c r="BT14" t="s">
        <v>232</v>
      </c>
      <c r="BU14" t="s">
        <v>122</v>
      </c>
      <c r="BV14" t="s">
        <v>233</v>
      </c>
      <c r="BW14" t="s">
        <v>112</v>
      </c>
      <c r="BX14" t="s">
        <v>112</v>
      </c>
      <c r="BY14" t="s">
        <v>112</v>
      </c>
      <c r="BZ14" t="s">
        <v>123</v>
      </c>
      <c r="CA14" t="s">
        <v>111</v>
      </c>
      <c r="CB14" t="s">
        <v>111</v>
      </c>
      <c r="CC14" t="s">
        <v>123</v>
      </c>
      <c r="CD14" t="s">
        <v>112</v>
      </c>
      <c r="CE14" t="s">
        <v>113</v>
      </c>
      <c r="CF14" t="s">
        <v>123</v>
      </c>
      <c r="CG14" t="s">
        <v>123</v>
      </c>
      <c r="CH14" t="s">
        <v>123</v>
      </c>
      <c r="CI14" t="s">
        <v>112</v>
      </c>
      <c r="CJ14" t="s">
        <v>111</v>
      </c>
      <c r="CK14" t="s">
        <v>123</v>
      </c>
      <c r="CL14" t="s">
        <v>155</v>
      </c>
      <c r="CM14" t="s">
        <v>117</v>
      </c>
      <c r="CN14" t="s">
        <v>116</v>
      </c>
      <c r="CO14">
        <v>59.953231459639582</v>
      </c>
      <c r="CP14">
        <v>58.914205455946927</v>
      </c>
      <c r="CQ14">
        <v>298.74301234567889</v>
      </c>
      <c r="CR14">
        <v>0.53191975308641948</v>
      </c>
      <c r="CS14">
        <v>1.4650259003911779E-2</v>
      </c>
      <c r="CT14">
        <v>2.3860974818881931E-2</v>
      </c>
    </row>
    <row r="15" spans="1:98">
      <c r="A15">
        <v>14</v>
      </c>
      <c r="B15" t="s">
        <v>234</v>
      </c>
      <c r="C15" t="s">
        <v>95</v>
      </c>
      <c r="D15">
        <v>31</v>
      </c>
      <c r="E15" t="s">
        <v>119</v>
      </c>
      <c r="F15" t="s">
        <v>220</v>
      </c>
      <c r="G15" s="1">
        <v>0.593287037037037</v>
      </c>
      <c r="H15" s="1">
        <v>0.59305555555555556</v>
      </c>
      <c r="I15" s="1">
        <v>0.59444444444444444</v>
      </c>
      <c r="J15">
        <v>139.05736856805419</v>
      </c>
      <c r="K15">
        <v>126.4717051303639</v>
      </c>
      <c r="L15">
        <v>52.709362318840583</v>
      </c>
      <c r="M15">
        <v>0.56147826086956465</v>
      </c>
      <c r="N15">
        <v>3.3144228302081698E-2</v>
      </c>
      <c r="O15">
        <v>5.6304298652537443E-2</v>
      </c>
      <c r="P15" s="1">
        <v>0.59445601851851848</v>
      </c>
      <c r="Q15" s="1">
        <v>0.59565972222222219</v>
      </c>
      <c r="R15">
        <v>7</v>
      </c>
      <c r="S15">
        <v>7</v>
      </c>
      <c r="T15">
        <v>87.299527091162119</v>
      </c>
      <c r="U15">
        <v>85.870618711493492</v>
      </c>
      <c r="V15">
        <v>50.249333333333333</v>
      </c>
      <c r="W15">
        <v>0.51671794871794852</v>
      </c>
      <c r="X15">
        <v>1.172901136725654E-2</v>
      </c>
      <c r="Y15">
        <v>2.930126866992985E-2</v>
      </c>
      <c r="Z15" s="1">
        <v>0.59583333333333333</v>
      </c>
      <c r="AA15" s="1">
        <v>0.59722222222222221</v>
      </c>
      <c r="AB15">
        <v>138.81867730365971</v>
      </c>
      <c r="AC15">
        <v>125.7845075169769</v>
      </c>
      <c r="AD15">
        <v>59.800522727272728</v>
      </c>
      <c r="AE15">
        <v>0.51406818181818148</v>
      </c>
      <c r="AF15">
        <v>1.1730482957519869E-2</v>
      </c>
      <c r="AG15">
        <v>2.7301901068193551E-2</v>
      </c>
      <c r="AH15" s="1">
        <v>0.59723379629629625</v>
      </c>
      <c r="AI15" s="1">
        <v>0.59828703703703701</v>
      </c>
      <c r="AJ15">
        <v>6</v>
      </c>
      <c r="AK15">
        <v>5</v>
      </c>
      <c r="AL15">
        <v>126.08696865307741</v>
      </c>
      <c r="AM15">
        <v>143.1736254444258</v>
      </c>
      <c r="AN15">
        <v>46.672647058823529</v>
      </c>
      <c r="AO15">
        <v>0.50899999999999967</v>
      </c>
      <c r="AP15">
        <v>1.122601714415466E-2</v>
      </c>
      <c r="AQ15">
        <v>2.8007682989489781E-2</v>
      </c>
      <c r="AR15" s="7">
        <v>0.59791666666666665</v>
      </c>
      <c r="AS15" s="7">
        <v>0.59930555555555554</v>
      </c>
      <c r="AT15">
        <v>84.25129801052303</v>
      </c>
      <c r="AU15">
        <v>78.056032348861351</v>
      </c>
      <c r="AV15">
        <v>42.982250000000001</v>
      </c>
      <c r="AW15">
        <v>0.47618750000000021</v>
      </c>
      <c r="AX15">
        <v>1.034168732495205E-2</v>
      </c>
      <c r="AY15">
        <v>2.6186740145404619E-2</v>
      </c>
      <c r="AZ15" s="7">
        <v>0.59930555555555554</v>
      </c>
      <c r="BA15" s="7">
        <v>0.6020833333333333</v>
      </c>
      <c r="BB15" t="s">
        <v>105</v>
      </c>
      <c r="BC15" t="s">
        <v>106</v>
      </c>
      <c r="BD15" t="s">
        <v>106</v>
      </c>
      <c r="BE15" t="s">
        <v>105</v>
      </c>
      <c r="BF15" t="s">
        <v>106</v>
      </c>
      <c r="BG15" t="s">
        <v>106</v>
      </c>
      <c r="BH15" t="s">
        <v>106</v>
      </c>
      <c r="BI15" t="s">
        <v>105</v>
      </c>
      <c r="BJ15" t="s">
        <v>106</v>
      </c>
      <c r="BK15" t="s">
        <v>105</v>
      </c>
      <c r="BL15" t="s">
        <v>106</v>
      </c>
      <c r="BM15" t="s">
        <v>105</v>
      </c>
      <c r="BN15" t="s">
        <v>106</v>
      </c>
      <c r="BO15" t="s">
        <v>105</v>
      </c>
      <c r="BP15" t="s">
        <v>106</v>
      </c>
      <c r="BQ15" t="s">
        <v>105</v>
      </c>
      <c r="BR15" t="s">
        <v>106</v>
      </c>
      <c r="BS15" t="s">
        <v>105</v>
      </c>
      <c r="BT15" t="s">
        <v>106</v>
      </c>
      <c r="BU15" t="s">
        <v>235</v>
      </c>
      <c r="BV15" t="s">
        <v>106</v>
      </c>
      <c r="BW15" t="s">
        <v>123</v>
      </c>
      <c r="BX15" t="s">
        <v>123</v>
      </c>
      <c r="BY15" t="s">
        <v>112</v>
      </c>
      <c r="BZ15" t="s">
        <v>111</v>
      </c>
      <c r="CA15" t="s">
        <v>112</v>
      </c>
      <c r="CB15" t="s">
        <v>111</v>
      </c>
      <c r="CC15" t="s">
        <v>112</v>
      </c>
      <c r="CD15" t="s">
        <v>111</v>
      </c>
      <c r="CE15" t="s">
        <v>113</v>
      </c>
      <c r="CF15" t="s">
        <v>111</v>
      </c>
      <c r="CG15" t="s">
        <v>123</v>
      </c>
      <c r="CH15" t="s">
        <v>112</v>
      </c>
      <c r="CI15" t="s">
        <v>112</v>
      </c>
      <c r="CJ15" t="s">
        <v>123</v>
      </c>
      <c r="CK15" t="s">
        <v>123</v>
      </c>
      <c r="CL15" t="s">
        <v>155</v>
      </c>
      <c r="CM15" t="s">
        <v>116</v>
      </c>
      <c r="CN15" t="s">
        <v>116</v>
      </c>
      <c r="CO15">
        <v>69.869548590596779</v>
      </c>
      <c r="CP15">
        <v>62.136326548347533</v>
      </c>
      <c r="CQ15">
        <v>118.1070621468926</v>
      </c>
      <c r="CR15">
        <v>0.46564971751412332</v>
      </c>
      <c r="CS15">
        <v>8.9790097051489944E-3</v>
      </c>
      <c r="CT15">
        <v>1.9324403310611929E-2</v>
      </c>
    </row>
    <row r="16" spans="1:98">
      <c r="A16">
        <v>15</v>
      </c>
      <c r="B16" t="s">
        <v>99</v>
      </c>
      <c r="C16" t="s">
        <v>95</v>
      </c>
      <c r="D16">
        <v>27</v>
      </c>
      <c r="E16" t="s">
        <v>138</v>
      </c>
      <c r="F16" t="s">
        <v>220</v>
      </c>
      <c r="G16" s="1">
        <v>0.6517708333333333</v>
      </c>
      <c r="H16" s="1">
        <v>0.65347222222222223</v>
      </c>
      <c r="I16" s="1">
        <v>0.65486111111111112</v>
      </c>
      <c r="J16">
        <v>54.111697304813283</v>
      </c>
      <c r="K16">
        <v>44.052890289482917</v>
      </c>
      <c r="L16">
        <v>60.410764044943818</v>
      </c>
      <c r="M16">
        <v>0.50638202247191033</v>
      </c>
      <c r="N16">
        <v>1.1863365929446651E-2</v>
      </c>
      <c r="O16">
        <v>3.9243320391277932E-2</v>
      </c>
      <c r="P16" s="1">
        <v>0.65504629629629629</v>
      </c>
      <c r="Q16" s="1">
        <v>0.65631944444444446</v>
      </c>
      <c r="R16">
        <v>7</v>
      </c>
      <c r="S16">
        <v>7</v>
      </c>
      <c r="T16">
        <v>95.051162035270735</v>
      </c>
      <c r="U16">
        <v>43.31248816687441</v>
      </c>
      <c r="V16">
        <v>54.274123456790122</v>
      </c>
      <c r="W16">
        <v>0.51113580246913548</v>
      </c>
      <c r="X16">
        <v>1.483700445776639E-2</v>
      </c>
      <c r="Y16">
        <v>4.5323368012506672E-2</v>
      </c>
      <c r="Z16" s="1">
        <v>0.65633101851851849</v>
      </c>
      <c r="AA16" s="1">
        <v>0.65770833333333334</v>
      </c>
      <c r="AB16">
        <v>93.426124508837049</v>
      </c>
      <c r="AC16">
        <v>64.015970229657725</v>
      </c>
      <c r="AD16">
        <v>59.635195402298862</v>
      </c>
      <c r="AE16">
        <v>0.5652643678160918</v>
      </c>
      <c r="AF16">
        <v>1.191708165061996E-2</v>
      </c>
      <c r="AG16">
        <v>3.8607169274993643E-2</v>
      </c>
      <c r="AH16" s="1">
        <v>0.65771990740740738</v>
      </c>
      <c r="AI16" s="1">
        <v>0.65907407407407403</v>
      </c>
      <c r="AJ16">
        <v>7</v>
      </c>
      <c r="AK16">
        <v>7</v>
      </c>
      <c r="AL16">
        <v>80.137477528784487</v>
      </c>
      <c r="AM16">
        <v>43.059221448188786</v>
      </c>
      <c r="AN16">
        <v>58.415465116279073</v>
      </c>
      <c r="AO16">
        <v>0.46041860465116269</v>
      </c>
      <c r="AP16">
        <v>1.404193401165336E-2</v>
      </c>
      <c r="AQ16">
        <v>4.2519108210182663E-2</v>
      </c>
      <c r="AR16" s="7">
        <v>0.65902777777777777</v>
      </c>
      <c r="AS16" s="7">
        <v>0.66041666666666665</v>
      </c>
      <c r="AT16">
        <v>108.3160906059897</v>
      </c>
      <c r="AU16">
        <v>55.93556899494164</v>
      </c>
      <c r="AV16">
        <v>57.194752941176468</v>
      </c>
      <c r="AW16">
        <v>0.50778823529411743</v>
      </c>
      <c r="AX16">
        <v>1.3651922598629169E-2</v>
      </c>
      <c r="AY16">
        <v>4.1673232857392231E-2</v>
      </c>
      <c r="AZ16" s="7">
        <v>0.66041666666666665</v>
      </c>
      <c r="BA16" s="7">
        <v>0.66527777777777775</v>
      </c>
      <c r="BB16" t="s">
        <v>105</v>
      </c>
      <c r="BC16" t="s">
        <v>106</v>
      </c>
      <c r="BD16" t="s">
        <v>236</v>
      </c>
      <c r="BE16" t="s">
        <v>105</v>
      </c>
      <c r="BF16" t="s">
        <v>106</v>
      </c>
      <c r="BG16" t="s">
        <v>105</v>
      </c>
      <c r="BH16" t="s">
        <v>106</v>
      </c>
      <c r="BI16" t="s">
        <v>101</v>
      </c>
      <c r="BJ16" t="s">
        <v>237</v>
      </c>
      <c r="BK16" t="s">
        <v>101</v>
      </c>
      <c r="BL16" t="s">
        <v>238</v>
      </c>
      <c r="BM16" t="s">
        <v>239</v>
      </c>
      <c r="BN16" t="s">
        <v>240</v>
      </c>
      <c r="BO16" t="s">
        <v>101</v>
      </c>
      <c r="BP16" t="s">
        <v>241</v>
      </c>
      <c r="BQ16" t="s">
        <v>101</v>
      </c>
      <c r="BR16" t="s">
        <v>242</v>
      </c>
      <c r="BS16" t="s">
        <v>101</v>
      </c>
      <c r="BT16" t="s">
        <v>243</v>
      </c>
      <c r="BU16" t="s">
        <v>244</v>
      </c>
      <c r="BV16" t="s">
        <v>105</v>
      </c>
      <c r="BW16" t="s">
        <v>112</v>
      </c>
      <c r="BX16" t="s">
        <v>113</v>
      </c>
      <c r="BY16" t="s">
        <v>113</v>
      </c>
      <c r="BZ16" t="s">
        <v>112</v>
      </c>
      <c r="CA16" t="s">
        <v>114</v>
      </c>
      <c r="CB16" t="s">
        <v>113</v>
      </c>
      <c r="CC16" t="s">
        <v>111</v>
      </c>
      <c r="CD16" t="s">
        <v>111</v>
      </c>
      <c r="CE16" t="s">
        <v>114</v>
      </c>
      <c r="CF16" t="s">
        <v>113</v>
      </c>
      <c r="CG16" t="s">
        <v>114</v>
      </c>
      <c r="CH16" t="s">
        <v>114</v>
      </c>
      <c r="CI16" t="s">
        <v>113</v>
      </c>
      <c r="CJ16" t="s">
        <v>113</v>
      </c>
      <c r="CK16" t="s">
        <v>112</v>
      </c>
      <c r="CL16" t="s">
        <v>124</v>
      </c>
      <c r="CM16" t="s">
        <v>116</v>
      </c>
      <c r="CN16" t="s">
        <v>117</v>
      </c>
      <c r="CO16">
        <v>76.590030272401847</v>
      </c>
      <c r="CP16">
        <v>68.328422587775364</v>
      </c>
      <c r="CQ16">
        <v>198.6601083032491</v>
      </c>
      <c r="CR16">
        <v>0.51236101083032581</v>
      </c>
      <c r="CS16">
        <v>1.246531819403315E-2</v>
      </c>
      <c r="CT16">
        <v>2.690792936950261E-2</v>
      </c>
    </row>
    <row r="17" spans="1:98">
      <c r="A17">
        <v>16</v>
      </c>
      <c r="B17" t="s">
        <v>137</v>
      </c>
      <c r="C17" t="s">
        <v>125</v>
      </c>
      <c r="D17">
        <v>63</v>
      </c>
      <c r="E17" t="s">
        <v>189</v>
      </c>
      <c r="F17" t="s">
        <v>245</v>
      </c>
      <c r="G17" s="1">
        <v>0.3495138888888889</v>
      </c>
      <c r="H17" s="1">
        <v>0.34930555555555548</v>
      </c>
      <c r="I17" s="1">
        <v>0.35069444444444442</v>
      </c>
      <c r="J17">
        <v>54.99058648323264</v>
      </c>
      <c r="K17">
        <v>49.808920600917837</v>
      </c>
      <c r="L17">
        <v>51.262140845070427</v>
      </c>
      <c r="M17">
        <v>0.46890140845070349</v>
      </c>
      <c r="N17">
        <v>1.4058966704999849E-2</v>
      </c>
      <c r="O17">
        <v>4.2210856004037373E-2</v>
      </c>
      <c r="P17" s="1">
        <v>0.35070601851851851</v>
      </c>
      <c r="Q17" s="1">
        <v>0.3518634259259259</v>
      </c>
      <c r="R17">
        <v>6</v>
      </c>
      <c r="S17">
        <v>5</v>
      </c>
      <c r="T17">
        <v>42.192934653135822</v>
      </c>
      <c r="U17">
        <v>57.011003722568717</v>
      </c>
      <c r="V17">
        <v>51.074777777777783</v>
      </c>
      <c r="W17">
        <v>0.51497222222222205</v>
      </c>
      <c r="X17">
        <v>1.270512385243645E-2</v>
      </c>
      <c r="Y17">
        <v>3.8846234129532947E-2</v>
      </c>
      <c r="Z17" s="1">
        <v>0.35187499999999999</v>
      </c>
      <c r="AA17" s="1">
        <v>0.35325231481481478</v>
      </c>
      <c r="AB17">
        <v>47.291928341276261</v>
      </c>
      <c r="AC17">
        <v>20.722079532533911</v>
      </c>
      <c r="AD17">
        <v>58.963386363636353</v>
      </c>
      <c r="AE17">
        <v>0.48272727272727239</v>
      </c>
      <c r="AF17">
        <v>1.1797560714665719E-2</v>
      </c>
      <c r="AG17">
        <v>3.2964435092995167E-2</v>
      </c>
      <c r="AH17" s="1">
        <v>0.35326388888888888</v>
      </c>
      <c r="AI17" s="1">
        <v>0.35393518518518519</v>
      </c>
      <c r="AJ17">
        <v>5</v>
      </c>
      <c r="AK17">
        <v>4</v>
      </c>
      <c r="AL17">
        <v>44.834506482241203</v>
      </c>
      <c r="AM17">
        <v>40.037104003283332</v>
      </c>
      <c r="AN17">
        <v>28.296878048780489</v>
      </c>
      <c r="AO17">
        <v>0.47146341463414632</v>
      </c>
      <c r="AP17">
        <v>1.514235270841947E-2</v>
      </c>
      <c r="AQ17">
        <v>5.2002756622691472E-2</v>
      </c>
      <c r="AR17" s="7">
        <v>0.35347222222222219</v>
      </c>
      <c r="AS17" s="7">
        <v>0.35486111111111113</v>
      </c>
      <c r="AT17">
        <v>65.42915435730113</v>
      </c>
      <c r="AU17">
        <v>22.096801956762139</v>
      </c>
      <c r="AV17">
        <v>60.163402298850578</v>
      </c>
      <c r="AW17">
        <v>0.48951724137931008</v>
      </c>
      <c r="AX17">
        <v>1.4258853102204479E-2</v>
      </c>
      <c r="AY17">
        <v>3.8384634917995153E-2</v>
      </c>
      <c r="AZ17" s="7">
        <v>0.35555555555555562</v>
      </c>
      <c r="BA17" s="7">
        <v>0.36180555555555549</v>
      </c>
      <c r="BB17" t="s">
        <v>246</v>
      </c>
      <c r="BC17" t="s">
        <v>196</v>
      </c>
      <c r="BD17" t="s">
        <v>247</v>
      </c>
      <c r="BE17" t="s">
        <v>162</v>
      </c>
      <c r="BF17" t="s">
        <v>248</v>
      </c>
      <c r="BG17" t="s">
        <v>162</v>
      </c>
      <c r="BH17" t="s">
        <v>249</v>
      </c>
      <c r="BI17" t="s">
        <v>162</v>
      </c>
      <c r="BJ17" t="s">
        <v>250</v>
      </c>
      <c r="BK17" t="s">
        <v>162</v>
      </c>
      <c r="BL17" t="s">
        <v>251</v>
      </c>
      <c r="BM17" t="s">
        <v>162</v>
      </c>
      <c r="BN17" t="s">
        <v>252</v>
      </c>
      <c r="BO17" t="s">
        <v>162</v>
      </c>
      <c r="BP17" t="s">
        <v>253</v>
      </c>
      <c r="BQ17" t="s">
        <v>162</v>
      </c>
      <c r="BR17" t="s">
        <v>254</v>
      </c>
      <c r="BS17" t="s">
        <v>162</v>
      </c>
      <c r="BT17" t="s">
        <v>255</v>
      </c>
      <c r="BU17" t="s">
        <v>186</v>
      </c>
      <c r="BV17" t="s">
        <v>256</v>
      </c>
      <c r="BW17" t="s">
        <v>173</v>
      </c>
      <c r="BX17" t="s">
        <v>172</v>
      </c>
      <c r="BY17" t="s">
        <v>171</v>
      </c>
      <c r="BZ17" t="s">
        <v>170</v>
      </c>
      <c r="CA17" t="s">
        <v>173</v>
      </c>
      <c r="CB17" t="s">
        <v>172</v>
      </c>
      <c r="CC17" t="s">
        <v>171</v>
      </c>
      <c r="CD17" t="s">
        <v>169</v>
      </c>
      <c r="CE17" t="s">
        <v>171</v>
      </c>
      <c r="CF17" t="s">
        <v>172</v>
      </c>
      <c r="CH17" t="s">
        <v>173</v>
      </c>
      <c r="CI17" t="s">
        <v>170</v>
      </c>
      <c r="CJ17" t="s">
        <v>169</v>
      </c>
      <c r="CK17" t="s">
        <v>173</v>
      </c>
      <c r="CL17" t="s">
        <v>194</v>
      </c>
      <c r="CM17" t="s">
        <v>207</v>
      </c>
      <c r="CN17" t="s">
        <v>175</v>
      </c>
      <c r="CO17">
        <v>23.637600560697692</v>
      </c>
      <c r="CP17">
        <v>20.465044100857259</v>
      </c>
      <c r="CQ17">
        <v>271.39900000000011</v>
      </c>
      <c r="CR17">
        <v>0.50787878787878737</v>
      </c>
      <c r="CS17">
        <v>8.9836380170425917E-3</v>
      </c>
      <c r="CT17">
        <v>1.8214293431183248E-2</v>
      </c>
    </row>
    <row r="18" spans="1:98">
      <c r="A18">
        <v>17</v>
      </c>
      <c r="B18" t="s">
        <v>149</v>
      </c>
      <c r="C18" t="s">
        <v>95</v>
      </c>
      <c r="D18">
        <v>40</v>
      </c>
      <c r="E18" t="s">
        <v>138</v>
      </c>
      <c r="F18" t="s">
        <v>245</v>
      </c>
      <c r="G18" s="1">
        <v>0.43765046296296289</v>
      </c>
      <c r="H18" s="1">
        <v>0.43819444444444439</v>
      </c>
      <c r="I18" s="1">
        <v>0.43958333333333333</v>
      </c>
      <c r="J18">
        <v>378.9701615342999</v>
      </c>
      <c r="K18">
        <v>650.32504693166015</v>
      </c>
      <c r="L18">
        <v>57.753136363636372</v>
      </c>
      <c r="M18">
        <v>0.54156818181818156</v>
      </c>
      <c r="N18">
        <v>1.045608839516822E-2</v>
      </c>
      <c r="O18">
        <v>2.422940365863532E-2</v>
      </c>
      <c r="P18" s="1">
        <v>0.43959490740740742</v>
      </c>
      <c r="Q18" s="1">
        <v>0.44069444444444439</v>
      </c>
      <c r="R18">
        <v>6</v>
      </c>
      <c r="S18">
        <v>6</v>
      </c>
      <c r="T18">
        <v>437.41834718895302</v>
      </c>
      <c r="U18">
        <v>486.81413290905869</v>
      </c>
      <c r="V18">
        <v>46.139479452054793</v>
      </c>
      <c r="W18">
        <v>0.48235616438356149</v>
      </c>
      <c r="X18">
        <v>1.0142489543467109E-2</v>
      </c>
      <c r="Y18">
        <v>2.6456824860585551E-2</v>
      </c>
      <c r="Z18" s="1">
        <v>0.44097222222222221</v>
      </c>
      <c r="AA18" s="1">
        <v>0.44236111111111109</v>
      </c>
      <c r="AB18">
        <v>327.19992432179959</v>
      </c>
      <c r="AC18">
        <v>450.91063416158408</v>
      </c>
      <c r="AD18">
        <v>60.504067415730347</v>
      </c>
      <c r="AE18">
        <v>0.51429213483145941</v>
      </c>
      <c r="AF18">
        <v>9.0628286913270236E-3</v>
      </c>
      <c r="AG18">
        <v>2.1967175922531789E-2</v>
      </c>
      <c r="AH18" s="1">
        <v>0.44237268518518519</v>
      </c>
      <c r="AI18" s="1">
        <v>0.4435763888888889</v>
      </c>
      <c r="AJ18">
        <v>6</v>
      </c>
      <c r="AK18">
        <v>5</v>
      </c>
      <c r="AL18">
        <v>389.61618642873663</v>
      </c>
      <c r="AM18">
        <v>570.52201973280376</v>
      </c>
      <c r="AN18">
        <v>60.243318181818182</v>
      </c>
      <c r="AO18">
        <v>0.46470454545454543</v>
      </c>
      <c r="AP18">
        <v>9.4323481788701861E-3</v>
      </c>
      <c r="AQ18">
        <v>2.2534473143880809E-2</v>
      </c>
      <c r="AR18" s="7">
        <v>0.44374999999999998</v>
      </c>
      <c r="AS18" s="7">
        <v>0.44513888888888892</v>
      </c>
      <c r="AT18">
        <v>528.77497516332267</v>
      </c>
      <c r="AU18">
        <v>699.02169732657683</v>
      </c>
      <c r="AV18">
        <v>60.618227272727268</v>
      </c>
      <c r="AW18">
        <v>0.49886363636363551</v>
      </c>
      <c r="AX18">
        <v>7.3596236394173446E-3</v>
      </c>
      <c r="AY18">
        <v>1.8990318231858792E-2</v>
      </c>
      <c r="AZ18" s="7">
        <v>0.44513888888888892</v>
      </c>
      <c r="BA18" s="7">
        <v>0.45277777777777778</v>
      </c>
      <c r="BB18" t="s">
        <v>257</v>
      </c>
      <c r="BC18" t="s">
        <v>258</v>
      </c>
      <c r="BD18" t="s">
        <v>259</v>
      </c>
      <c r="BE18" t="s">
        <v>131</v>
      </c>
      <c r="BF18" t="s">
        <v>260</v>
      </c>
      <c r="BG18" t="s">
        <v>133</v>
      </c>
      <c r="BH18" t="s">
        <v>106</v>
      </c>
      <c r="BI18" t="s">
        <v>131</v>
      </c>
      <c r="BJ18" t="s">
        <v>261</v>
      </c>
      <c r="BK18" t="s">
        <v>131</v>
      </c>
      <c r="BL18" t="s">
        <v>262</v>
      </c>
      <c r="BM18" t="s">
        <v>131</v>
      </c>
      <c r="BN18" t="s">
        <v>263</v>
      </c>
      <c r="BO18" t="s">
        <v>131</v>
      </c>
      <c r="BP18" t="s">
        <v>264</v>
      </c>
      <c r="BQ18" t="s">
        <v>133</v>
      </c>
      <c r="BR18" t="s">
        <v>265</v>
      </c>
      <c r="BS18" t="s">
        <v>133</v>
      </c>
      <c r="BT18" t="s">
        <v>266</v>
      </c>
      <c r="BU18" t="s">
        <v>192</v>
      </c>
      <c r="BV18" t="s">
        <v>105</v>
      </c>
      <c r="BW18" t="s">
        <v>111</v>
      </c>
      <c r="BX18" t="s">
        <v>123</v>
      </c>
      <c r="BY18" t="s">
        <v>111</v>
      </c>
      <c r="BZ18" t="s">
        <v>112</v>
      </c>
      <c r="CA18" t="s">
        <v>111</v>
      </c>
      <c r="CB18" t="s">
        <v>111</v>
      </c>
      <c r="CC18" t="s">
        <v>111</v>
      </c>
      <c r="CD18" t="s">
        <v>111</v>
      </c>
      <c r="CE18" t="s">
        <v>111</v>
      </c>
      <c r="CF18" t="s">
        <v>123</v>
      </c>
      <c r="CG18" t="s">
        <v>111</v>
      </c>
      <c r="CH18" t="s">
        <v>111</v>
      </c>
      <c r="CI18" t="s">
        <v>112</v>
      </c>
      <c r="CJ18" t="s">
        <v>123</v>
      </c>
      <c r="CK18" t="s">
        <v>123</v>
      </c>
      <c r="CL18" t="s">
        <v>124</v>
      </c>
      <c r="CM18" t="s">
        <v>117</v>
      </c>
      <c r="CN18" t="s">
        <v>155</v>
      </c>
      <c r="CO18">
        <v>386.85349363056361</v>
      </c>
      <c r="CP18">
        <v>565.77536745899067</v>
      </c>
      <c r="CQ18">
        <v>330.20027118644072</v>
      </c>
      <c r="CR18">
        <v>0.50916101694915161</v>
      </c>
      <c r="CS18">
        <v>8.4679716990130795E-3</v>
      </c>
      <c r="CT18">
        <v>1.5825457807346819E-2</v>
      </c>
    </row>
    <row r="19" spans="1:98">
      <c r="A19">
        <v>18</v>
      </c>
      <c r="B19" t="s">
        <v>99</v>
      </c>
      <c r="C19" t="s">
        <v>95</v>
      </c>
      <c r="D19">
        <v>25</v>
      </c>
      <c r="E19" t="s">
        <v>156</v>
      </c>
      <c r="F19" t="s">
        <v>245</v>
      </c>
      <c r="G19" s="1">
        <v>0.5720601851851852</v>
      </c>
      <c r="H19" s="1">
        <v>0.57152777777777775</v>
      </c>
      <c r="I19" s="1">
        <v>0.57291666666666663</v>
      </c>
      <c r="J19">
        <v>0</v>
      </c>
      <c r="L19">
        <v>36.966603773584907</v>
      </c>
      <c r="M19">
        <v>0.60018867924528296</v>
      </c>
      <c r="N19">
        <v>1.019216976314816E-2</v>
      </c>
      <c r="O19">
        <v>2.0062579476199001E-2</v>
      </c>
      <c r="P19" s="1">
        <v>0.57292824074074078</v>
      </c>
      <c r="Q19" s="1">
        <v>0.57341435185185186</v>
      </c>
      <c r="R19">
        <v>3</v>
      </c>
      <c r="S19">
        <v>2</v>
      </c>
      <c r="T19">
        <v>618.83762005876781</v>
      </c>
      <c r="U19">
        <v>1015.719121279763</v>
      </c>
      <c r="V19">
        <v>20.370200000000001</v>
      </c>
      <c r="W19">
        <v>0.5346000000000003</v>
      </c>
      <c r="X19">
        <v>1.067347536886658E-2</v>
      </c>
      <c r="Y19">
        <v>2.529035549634458E-2</v>
      </c>
      <c r="Z19" s="1">
        <v>0.57361111111111107</v>
      </c>
      <c r="AA19" s="1">
        <v>0.57499999999999996</v>
      </c>
      <c r="AB19">
        <v>346.63916714421839</v>
      </c>
      <c r="AC19">
        <v>455.04570385027699</v>
      </c>
      <c r="AD19">
        <v>58.639191011235972</v>
      </c>
      <c r="AE19">
        <v>0.51898876404494454</v>
      </c>
      <c r="AF19">
        <v>1.042314778820206E-2</v>
      </c>
      <c r="AG19">
        <v>2.0408636577652819E-2</v>
      </c>
      <c r="AH19" s="1">
        <v>0.57517361111111109</v>
      </c>
      <c r="AI19" s="1">
        <v>0.57646990740740744</v>
      </c>
      <c r="AJ19">
        <v>7</v>
      </c>
      <c r="AK19">
        <v>7</v>
      </c>
      <c r="AL19">
        <v>182.60522533975481</v>
      </c>
      <c r="AM19">
        <v>255.1797019202526</v>
      </c>
      <c r="AN19">
        <v>55.003071428571417</v>
      </c>
      <c r="AO19">
        <v>0.58011904761904709</v>
      </c>
      <c r="AP19">
        <v>1.052982154357927E-2</v>
      </c>
      <c r="AQ19">
        <v>2.1413099290181519E-2</v>
      </c>
      <c r="AR19" s="7">
        <v>0.57638888888888884</v>
      </c>
      <c r="AS19" s="7">
        <v>0.57777777777777772</v>
      </c>
      <c r="AT19">
        <v>389.93454884243289</v>
      </c>
      <c r="AU19">
        <v>422.2582148401587</v>
      </c>
      <c r="AV19">
        <v>55.543452380952367</v>
      </c>
      <c r="AW19">
        <v>0.53604761904761911</v>
      </c>
      <c r="AX19">
        <v>1.228484638497012E-2</v>
      </c>
      <c r="AY19">
        <v>2.4894988510039229E-2</v>
      </c>
      <c r="AZ19" s="7">
        <v>0.57777777777777772</v>
      </c>
      <c r="BA19" s="7">
        <v>0.58472222222222225</v>
      </c>
      <c r="BB19" t="s">
        <v>128</v>
      </c>
      <c r="BC19" t="s">
        <v>196</v>
      </c>
      <c r="BD19" t="s">
        <v>267</v>
      </c>
      <c r="BE19" t="s">
        <v>105</v>
      </c>
      <c r="BF19" t="s">
        <v>106</v>
      </c>
      <c r="BG19" t="s">
        <v>105</v>
      </c>
      <c r="BH19" t="s">
        <v>106</v>
      </c>
      <c r="BI19" t="s">
        <v>131</v>
      </c>
      <c r="BJ19" t="s">
        <v>268</v>
      </c>
      <c r="BK19" t="s">
        <v>101</v>
      </c>
      <c r="BL19" t="s">
        <v>269</v>
      </c>
      <c r="BM19" t="s">
        <v>101</v>
      </c>
      <c r="BN19" t="s">
        <v>270</v>
      </c>
      <c r="BO19" t="s">
        <v>105</v>
      </c>
      <c r="BP19" t="s">
        <v>105</v>
      </c>
      <c r="BQ19" t="s">
        <v>101</v>
      </c>
      <c r="BR19" t="s">
        <v>271</v>
      </c>
      <c r="BS19" t="s">
        <v>101</v>
      </c>
      <c r="BT19" t="s">
        <v>272</v>
      </c>
      <c r="BU19" t="s">
        <v>273</v>
      </c>
      <c r="BV19" t="s">
        <v>274</v>
      </c>
      <c r="BW19" t="s">
        <v>123</v>
      </c>
      <c r="BX19" t="s">
        <v>112</v>
      </c>
      <c r="BY19" t="s">
        <v>123</v>
      </c>
      <c r="BZ19" t="s">
        <v>123</v>
      </c>
      <c r="CA19" t="s">
        <v>111</v>
      </c>
      <c r="CB19" t="s">
        <v>112</v>
      </c>
      <c r="CC19" t="s">
        <v>123</v>
      </c>
      <c r="CD19" t="s">
        <v>123</v>
      </c>
      <c r="CE19" t="s">
        <v>113</v>
      </c>
      <c r="CF19" t="s">
        <v>123</v>
      </c>
      <c r="CG19" t="s">
        <v>123</v>
      </c>
      <c r="CH19" t="s">
        <v>123</v>
      </c>
      <c r="CI19" t="s">
        <v>112</v>
      </c>
      <c r="CJ19" t="s">
        <v>123</v>
      </c>
      <c r="CK19" t="s">
        <v>111</v>
      </c>
      <c r="CL19" t="s">
        <v>115</v>
      </c>
      <c r="CM19" t="s">
        <v>116</v>
      </c>
      <c r="CN19" t="s">
        <v>117</v>
      </c>
      <c r="CO19">
        <v>260.1567627238781</v>
      </c>
      <c r="CP19">
        <v>358.45518172018899</v>
      </c>
      <c r="CQ19">
        <v>299.28628045977013</v>
      </c>
      <c r="CR19">
        <v>0.48286896551724029</v>
      </c>
      <c r="CS19">
        <v>9.4848332222479317E-3</v>
      </c>
      <c r="CT19">
        <v>1.676780506292571E-2</v>
      </c>
    </row>
    <row r="20" spans="1:98">
      <c r="A20">
        <v>19</v>
      </c>
      <c r="B20" t="s">
        <v>118</v>
      </c>
      <c r="C20" t="s">
        <v>95</v>
      </c>
      <c r="D20">
        <v>19</v>
      </c>
      <c r="E20" t="s">
        <v>119</v>
      </c>
      <c r="F20" t="s">
        <v>245</v>
      </c>
      <c r="G20" s="1">
        <v>0.64271990740740736</v>
      </c>
      <c r="H20" s="1">
        <v>0.64236111111111116</v>
      </c>
      <c r="I20" s="1">
        <v>0.64375000000000004</v>
      </c>
      <c r="J20">
        <v>408.92773158000978</v>
      </c>
      <c r="K20">
        <v>541.2054234251799</v>
      </c>
      <c r="L20">
        <v>44.18628125</v>
      </c>
      <c r="M20">
        <v>0.48106250000000023</v>
      </c>
      <c r="N20">
        <v>1.7704921595800751E-2</v>
      </c>
      <c r="O20">
        <v>4.580156860260657E-2</v>
      </c>
      <c r="P20" s="1">
        <v>0.64391203703703703</v>
      </c>
      <c r="Q20" s="1">
        <v>0.64517361111111116</v>
      </c>
      <c r="R20">
        <v>7</v>
      </c>
      <c r="S20">
        <v>6</v>
      </c>
      <c r="T20">
        <v>72.812415058733535</v>
      </c>
      <c r="U20">
        <v>55.721635495125987</v>
      </c>
      <c r="V20">
        <v>55.640727272727261</v>
      </c>
      <c r="W20">
        <v>0.50592207792207722</v>
      </c>
      <c r="X20">
        <v>1.2794281232381931E-2</v>
      </c>
      <c r="Y20">
        <v>3.6739828424769243E-2</v>
      </c>
      <c r="Z20" s="1">
        <v>0.64518518518518519</v>
      </c>
      <c r="AA20" s="1">
        <v>0.64656250000000004</v>
      </c>
      <c r="AB20">
        <v>118.29954986231721</v>
      </c>
      <c r="AC20">
        <v>125.3616344578335</v>
      </c>
      <c r="AD20">
        <v>59.555905882352953</v>
      </c>
      <c r="AE20">
        <v>0.54312941176470575</v>
      </c>
      <c r="AF20">
        <v>1.473984812936791E-2</v>
      </c>
      <c r="AG20">
        <v>3.7532222586173072E-2</v>
      </c>
      <c r="AH20" s="1">
        <v>0.64666666666666661</v>
      </c>
      <c r="AI20" s="1">
        <v>0.6471527777777778</v>
      </c>
      <c r="AJ20">
        <v>4</v>
      </c>
      <c r="AK20">
        <v>3</v>
      </c>
      <c r="AL20">
        <v>605.39838123338268</v>
      </c>
      <c r="AM20">
        <v>569.70694220800942</v>
      </c>
      <c r="AN20">
        <v>20.702000000000002</v>
      </c>
      <c r="AO20">
        <v>0.53019999999999989</v>
      </c>
      <c r="AP20">
        <v>1.9544233415971189E-2</v>
      </c>
      <c r="AQ20">
        <v>7.5362092214033907E-2</v>
      </c>
      <c r="AR20" s="7">
        <v>0.64722222222222225</v>
      </c>
      <c r="AS20" s="7">
        <v>0.64861111111111114</v>
      </c>
      <c r="AT20">
        <v>88.398698527884832</v>
      </c>
      <c r="AU20">
        <v>89.194645850997034</v>
      </c>
      <c r="AV20">
        <v>59.959908045977009</v>
      </c>
      <c r="AW20">
        <v>0.52859770114942561</v>
      </c>
      <c r="AX20">
        <v>1.498240866953332E-2</v>
      </c>
      <c r="AY20">
        <v>3.9478636774145828E-2</v>
      </c>
      <c r="AZ20" s="7">
        <v>0.65347222222222223</v>
      </c>
      <c r="BA20" s="7">
        <v>0.65763888888888888</v>
      </c>
      <c r="BB20" t="s">
        <v>275</v>
      </c>
      <c r="BC20" t="s">
        <v>105</v>
      </c>
      <c r="BD20" t="s">
        <v>276</v>
      </c>
      <c r="BE20" t="s">
        <v>101</v>
      </c>
      <c r="BF20" t="s">
        <v>277</v>
      </c>
      <c r="BG20" t="s">
        <v>105</v>
      </c>
      <c r="BH20" t="s">
        <v>105</v>
      </c>
      <c r="BI20" t="s">
        <v>105</v>
      </c>
      <c r="BJ20" t="s">
        <v>105</v>
      </c>
      <c r="BK20" t="s">
        <v>105</v>
      </c>
      <c r="BL20" t="s">
        <v>105</v>
      </c>
      <c r="BM20" t="s">
        <v>278</v>
      </c>
      <c r="BN20" t="s">
        <v>105</v>
      </c>
      <c r="BO20" t="s">
        <v>105</v>
      </c>
      <c r="BP20" t="s">
        <v>105</v>
      </c>
      <c r="BQ20" t="s">
        <v>105</v>
      </c>
      <c r="BR20" t="s">
        <v>105</v>
      </c>
      <c r="BS20" t="s">
        <v>105</v>
      </c>
      <c r="BT20" t="s">
        <v>105</v>
      </c>
      <c r="BU20" t="s">
        <v>279</v>
      </c>
      <c r="BV20" t="s">
        <v>105</v>
      </c>
      <c r="BW20" t="s">
        <v>123</v>
      </c>
      <c r="BX20" t="s">
        <v>123</v>
      </c>
      <c r="BY20" t="s">
        <v>123</v>
      </c>
      <c r="BZ20" t="s">
        <v>123</v>
      </c>
      <c r="CA20" t="s">
        <v>112</v>
      </c>
      <c r="CB20" t="s">
        <v>111</v>
      </c>
      <c r="CC20" t="s">
        <v>123</v>
      </c>
      <c r="CD20" t="s">
        <v>112</v>
      </c>
      <c r="CE20" t="s">
        <v>111</v>
      </c>
      <c r="CF20" t="s">
        <v>123</v>
      </c>
      <c r="CG20" t="s">
        <v>123</v>
      </c>
      <c r="CH20" t="s">
        <v>112</v>
      </c>
      <c r="CI20" t="s">
        <v>111</v>
      </c>
      <c r="CJ20" t="s">
        <v>111</v>
      </c>
      <c r="CK20" t="s">
        <v>123</v>
      </c>
      <c r="CL20" t="s">
        <v>124</v>
      </c>
      <c r="CM20" t="s">
        <v>116</v>
      </c>
      <c r="CN20" t="s">
        <v>116</v>
      </c>
      <c r="CO20">
        <v>90.94775223209237</v>
      </c>
      <c r="CP20">
        <v>111.8340552514251</v>
      </c>
      <c r="CQ20">
        <v>177.97810526315789</v>
      </c>
      <c r="CR20">
        <v>0.51658299595141732</v>
      </c>
      <c r="CS20">
        <v>1.201270094226895E-2</v>
      </c>
      <c r="CT20">
        <v>2.5616455097249021E-2</v>
      </c>
    </row>
    <row r="21" spans="1:98">
      <c r="A21">
        <v>20</v>
      </c>
      <c r="B21" t="s">
        <v>99</v>
      </c>
      <c r="C21" t="s">
        <v>95</v>
      </c>
      <c r="D21">
        <v>23</v>
      </c>
      <c r="E21" t="s">
        <v>189</v>
      </c>
      <c r="F21" t="s">
        <v>280</v>
      </c>
      <c r="G21" s="1">
        <v>0.55004629629629631</v>
      </c>
      <c r="H21" s="1">
        <v>0.55000000000000004</v>
      </c>
      <c r="I21" s="1">
        <v>0.55138888888888893</v>
      </c>
      <c r="J21">
        <v>69.633047407908435</v>
      </c>
      <c r="L21">
        <v>52.071593220338983</v>
      </c>
      <c r="M21">
        <v>0.51718644067796593</v>
      </c>
      <c r="N21">
        <v>2.544617091900038E-2</v>
      </c>
      <c r="O21">
        <v>9.0734585186143885E-2</v>
      </c>
      <c r="P21" s="1">
        <v>0.55140046296296297</v>
      </c>
      <c r="Q21" s="1">
        <v>0.55249999999999999</v>
      </c>
      <c r="R21">
        <v>6</v>
      </c>
      <c r="S21">
        <v>6</v>
      </c>
      <c r="T21">
        <v>31.748964673703671</v>
      </c>
      <c r="U21">
        <v>17.894133116751188</v>
      </c>
      <c r="V21">
        <v>45.076000000000001</v>
      </c>
      <c r="W21">
        <v>0.46807142857142903</v>
      </c>
      <c r="X21">
        <v>2.0191375555169241E-2</v>
      </c>
      <c r="Y21">
        <v>8.4705175693600601E-2</v>
      </c>
      <c r="Z21" s="1">
        <v>0.55277777777777781</v>
      </c>
      <c r="AA21" s="1">
        <v>0.5541666666666667</v>
      </c>
      <c r="AB21">
        <v>81.456077654036903</v>
      </c>
      <c r="AC21">
        <v>76.091163537819796</v>
      </c>
      <c r="AD21">
        <v>57.441944444444438</v>
      </c>
      <c r="AE21">
        <v>0.42466666666666653</v>
      </c>
      <c r="AF21">
        <v>2.0340098445777319E-2</v>
      </c>
      <c r="AG21">
        <v>7.3303923247585556E-2</v>
      </c>
      <c r="AH21" s="1">
        <v>0.55434027777777772</v>
      </c>
      <c r="AI21" s="1">
        <v>0.55563657407407407</v>
      </c>
      <c r="AJ21">
        <v>7</v>
      </c>
      <c r="AK21">
        <v>7</v>
      </c>
      <c r="AL21">
        <v>89.689894533626727</v>
      </c>
      <c r="AM21">
        <v>104.4861597330364</v>
      </c>
      <c r="AN21">
        <v>51.56283720930233</v>
      </c>
      <c r="AO21">
        <v>0.45976744186046548</v>
      </c>
      <c r="AP21">
        <v>3.5880087504660513E-2</v>
      </c>
      <c r="AQ21">
        <v>0.12902676983781189</v>
      </c>
      <c r="AR21" s="7">
        <v>0.55555555555555558</v>
      </c>
      <c r="AS21" s="7">
        <v>0.55694444444444446</v>
      </c>
      <c r="AT21">
        <v>59.518392430450163</v>
      </c>
      <c r="AU21">
        <v>68.370570304195709</v>
      </c>
      <c r="AV21">
        <v>49.452633333333331</v>
      </c>
      <c r="AW21">
        <v>0.48249999999999982</v>
      </c>
      <c r="AX21">
        <v>2.1784477778439219E-2</v>
      </c>
      <c r="AY21">
        <v>8.5931764420746598E-2</v>
      </c>
      <c r="AZ21" s="7">
        <v>0.55694444444444446</v>
      </c>
      <c r="BA21" s="7">
        <v>0.5625</v>
      </c>
      <c r="BB21" t="s">
        <v>281</v>
      </c>
      <c r="BC21" t="s">
        <v>133</v>
      </c>
      <c r="BD21" t="s">
        <v>133</v>
      </c>
      <c r="BE21" t="s">
        <v>133</v>
      </c>
      <c r="BF21" t="s">
        <v>133</v>
      </c>
      <c r="BG21" t="s">
        <v>133</v>
      </c>
      <c r="BH21" t="s">
        <v>133</v>
      </c>
      <c r="BI21" t="s">
        <v>133</v>
      </c>
      <c r="BJ21" t="s">
        <v>133</v>
      </c>
      <c r="BK21" t="s">
        <v>133</v>
      </c>
      <c r="BL21" t="s">
        <v>133</v>
      </c>
      <c r="BM21" t="s">
        <v>133</v>
      </c>
      <c r="BN21" t="s">
        <v>133</v>
      </c>
      <c r="BO21" t="s">
        <v>133</v>
      </c>
      <c r="BP21" t="s">
        <v>133</v>
      </c>
      <c r="BQ21" t="s">
        <v>133</v>
      </c>
      <c r="BR21" t="s">
        <v>133</v>
      </c>
      <c r="BS21" t="s">
        <v>133</v>
      </c>
      <c r="BT21" t="s">
        <v>133</v>
      </c>
      <c r="BU21" t="s">
        <v>109</v>
      </c>
      <c r="BV21" t="s">
        <v>282</v>
      </c>
      <c r="BW21" t="s">
        <v>113</v>
      </c>
      <c r="BX21" t="s">
        <v>112</v>
      </c>
      <c r="BY21" t="s">
        <v>111</v>
      </c>
      <c r="BZ21" t="s">
        <v>111</v>
      </c>
      <c r="CA21" t="s">
        <v>113</v>
      </c>
      <c r="CB21" t="s">
        <v>112</v>
      </c>
      <c r="CC21" t="s">
        <v>112</v>
      </c>
      <c r="CD21" t="s">
        <v>114</v>
      </c>
      <c r="CE21" t="s">
        <v>113</v>
      </c>
      <c r="CF21" t="s">
        <v>112</v>
      </c>
      <c r="CG21" t="s">
        <v>111</v>
      </c>
      <c r="CH21" t="s">
        <v>114</v>
      </c>
      <c r="CI21" t="s">
        <v>112</v>
      </c>
      <c r="CJ21" t="s">
        <v>123</v>
      </c>
      <c r="CK21" t="s">
        <v>111</v>
      </c>
      <c r="CL21" t="s">
        <v>155</v>
      </c>
      <c r="CM21" t="s">
        <v>116</v>
      </c>
      <c r="CN21" t="s">
        <v>117</v>
      </c>
      <c r="CO21">
        <v>117.51265852338079</v>
      </c>
      <c r="CP21">
        <v>157.41708716770731</v>
      </c>
      <c r="CQ21">
        <v>222.9476269430051</v>
      </c>
      <c r="CR21">
        <v>0.58472538860103762</v>
      </c>
      <c r="CS21">
        <v>2.7823752536931399E-2</v>
      </c>
      <c r="CT21">
        <v>7.202497593406805E-2</v>
      </c>
    </row>
    <row r="22" spans="1:98">
      <c r="A22">
        <v>21</v>
      </c>
      <c r="B22" t="s">
        <v>99</v>
      </c>
      <c r="C22" t="s">
        <v>95</v>
      </c>
      <c r="D22">
        <v>23</v>
      </c>
      <c r="E22" t="s">
        <v>156</v>
      </c>
      <c r="F22" t="s">
        <v>283</v>
      </c>
      <c r="G22" s="1">
        <v>0.41842592592592592</v>
      </c>
      <c r="H22" s="1">
        <v>0.41805555555555562</v>
      </c>
      <c r="I22" s="1">
        <v>0.41944444444444451</v>
      </c>
      <c r="J22">
        <v>421.91489854807548</v>
      </c>
      <c r="K22">
        <v>610.71067111155378</v>
      </c>
      <c r="L22">
        <v>43.205030303030313</v>
      </c>
      <c r="M22">
        <v>0.48121212121212059</v>
      </c>
      <c r="N22">
        <v>1.3535781478064149E-2</v>
      </c>
      <c r="O22">
        <v>3.143193378809455E-2</v>
      </c>
      <c r="P22" s="1">
        <v>0.41988425925925932</v>
      </c>
      <c r="Q22" s="1">
        <v>0.42114583333333327</v>
      </c>
      <c r="R22">
        <v>8</v>
      </c>
      <c r="S22">
        <v>8</v>
      </c>
      <c r="T22">
        <v>111.94031266107559</v>
      </c>
      <c r="U22">
        <v>118.16958977694669</v>
      </c>
      <c r="V22">
        <v>54.472582278481013</v>
      </c>
      <c r="W22">
        <v>0.50635443037974781</v>
      </c>
      <c r="X22">
        <v>1.256798347563259E-2</v>
      </c>
      <c r="Y22">
        <v>2.7265327853395829E-2</v>
      </c>
      <c r="Z22" s="1">
        <v>0.42115740740740742</v>
      </c>
      <c r="AA22" s="1">
        <v>0.42253472222222221</v>
      </c>
      <c r="AB22">
        <v>86.481866888340576</v>
      </c>
      <c r="AC22">
        <v>72.505410024071637</v>
      </c>
      <c r="AD22">
        <v>60.868000000000002</v>
      </c>
      <c r="AE22">
        <v>0.46444943820224649</v>
      </c>
      <c r="AF22">
        <v>1.166073780318201E-2</v>
      </c>
      <c r="AG22">
        <v>2.524453410458103E-2</v>
      </c>
      <c r="AH22" s="1">
        <v>0.42396990740740742</v>
      </c>
      <c r="AI22" s="1">
        <v>0.42515046296296288</v>
      </c>
      <c r="AJ22">
        <v>7</v>
      </c>
      <c r="AK22">
        <v>7</v>
      </c>
      <c r="AL22">
        <v>352.49217867265162</v>
      </c>
      <c r="AM22">
        <v>443.79512526338948</v>
      </c>
      <c r="AN22">
        <v>49.356273972602743</v>
      </c>
      <c r="AO22">
        <v>0.63104109589041046</v>
      </c>
      <c r="AP22">
        <v>1.466806453797081E-2</v>
      </c>
      <c r="AQ22">
        <v>3.7050113778787523E-2</v>
      </c>
      <c r="AR22" s="7">
        <v>0.42499999999999999</v>
      </c>
      <c r="AS22" s="7">
        <v>0.42638888888888887</v>
      </c>
      <c r="AT22">
        <v>135.96506249806049</v>
      </c>
      <c r="AU22">
        <v>117.5707824626887</v>
      </c>
      <c r="AV22">
        <v>52.804103896103904</v>
      </c>
      <c r="AW22">
        <v>0.51657142857142857</v>
      </c>
      <c r="AX22">
        <v>1.3247628963959051E-2</v>
      </c>
      <c r="AY22">
        <v>3.8484062443642872E-2</v>
      </c>
      <c r="AZ22" s="7">
        <v>0.42638888888888887</v>
      </c>
      <c r="BA22" s="7">
        <v>0.43263888888888891</v>
      </c>
      <c r="BB22" t="s">
        <v>161</v>
      </c>
      <c r="BC22" t="s">
        <v>161</v>
      </c>
      <c r="BD22" t="s">
        <v>161</v>
      </c>
      <c r="BE22" t="s">
        <v>161</v>
      </c>
      <c r="BF22" t="s">
        <v>159</v>
      </c>
      <c r="BG22" t="s">
        <v>162</v>
      </c>
      <c r="BH22" t="s">
        <v>284</v>
      </c>
      <c r="BI22" t="s">
        <v>161</v>
      </c>
      <c r="BJ22" t="s">
        <v>159</v>
      </c>
      <c r="BK22" t="s">
        <v>162</v>
      </c>
      <c r="BL22" t="s">
        <v>285</v>
      </c>
      <c r="BM22" t="s">
        <v>161</v>
      </c>
      <c r="BN22" t="s">
        <v>159</v>
      </c>
      <c r="BO22" t="s">
        <v>162</v>
      </c>
      <c r="BP22" t="s">
        <v>286</v>
      </c>
      <c r="BQ22" t="s">
        <v>161</v>
      </c>
      <c r="BR22" t="s">
        <v>159</v>
      </c>
      <c r="BS22" t="s">
        <v>162</v>
      </c>
      <c r="BT22" t="s">
        <v>102</v>
      </c>
      <c r="BU22" t="s">
        <v>192</v>
      </c>
      <c r="BV22" t="s">
        <v>102</v>
      </c>
      <c r="BW22" t="s">
        <v>172</v>
      </c>
      <c r="BX22" t="s">
        <v>169</v>
      </c>
      <c r="BY22" t="s">
        <v>171</v>
      </c>
      <c r="BZ22" t="s">
        <v>170</v>
      </c>
      <c r="CA22" t="s">
        <v>172</v>
      </c>
      <c r="CB22" t="s">
        <v>173</v>
      </c>
      <c r="CC22" t="s">
        <v>171</v>
      </c>
      <c r="CD22" t="s">
        <v>170</v>
      </c>
      <c r="CE22" t="s">
        <v>170</v>
      </c>
      <c r="CF22" t="s">
        <v>171</v>
      </c>
      <c r="CH22" t="s">
        <v>169</v>
      </c>
      <c r="CI22" t="s">
        <v>171</v>
      </c>
      <c r="CJ22" t="s">
        <v>171</v>
      </c>
      <c r="CK22" t="s">
        <v>170</v>
      </c>
      <c r="CL22" t="s">
        <v>207</v>
      </c>
      <c r="CM22" t="s">
        <v>194</v>
      </c>
      <c r="CN22" t="s">
        <v>175</v>
      </c>
      <c r="CO22">
        <v>83.791024374774096</v>
      </c>
      <c r="CP22">
        <v>97.927619683538552</v>
      </c>
      <c r="CQ22">
        <v>269.52744670050771</v>
      </c>
      <c r="CR22">
        <v>0.51584263959391052</v>
      </c>
      <c r="CS22">
        <v>1.148516933020171E-2</v>
      </c>
      <c r="CT22">
        <v>2.2519830731282591E-2</v>
      </c>
    </row>
    <row r="23" spans="1:98">
      <c r="A23">
        <v>22</v>
      </c>
      <c r="B23" t="s">
        <v>99</v>
      </c>
      <c r="C23" t="s">
        <v>125</v>
      </c>
      <c r="D23">
        <v>25</v>
      </c>
      <c r="E23" t="s">
        <v>138</v>
      </c>
      <c r="F23" t="s">
        <v>287</v>
      </c>
      <c r="G23" s="1">
        <v>0.63670138888888894</v>
      </c>
      <c r="H23" s="1">
        <v>0.63680555555555551</v>
      </c>
      <c r="I23" s="1">
        <v>0.6381944444444444</v>
      </c>
      <c r="J23">
        <v>93.682252093577091</v>
      </c>
      <c r="K23">
        <v>113.8826217372177</v>
      </c>
      <c r="L23">
        <v>60.224347826086948</v>
      </c>
      <c r="M23">
        <v>0.50143478260869634</v>
      </c>
      <c r="N23">
        <v>1.365703630619642E-2</v>
      </c>
      <c r="O23">
        <v>2.6105501086247752E-2</v>
      </c>
      <c r="P23" s="1">
        <v>0.63836805555555554</v>
      </c>
      <c r="Q23" s="1">
        <v>0.63961805555555551</v>
      </c>
      <c r="R23">
        <v>8</v>
      </c>
      <c r="S23">
        <v>8</v>
      </c>
      <c r="T23">
        <v>47.79922988693459</v>
      </c>
      <c r="U23">
        <v>47.041805948001127</v>
      </c>
      <c r="V23">
        <v>53.247086419753089</v>
      </c>
      <c r="W23">
        <v>0.47004938271604929</v>
      </c>
      <c r="X23">
        <v>1.5552233339484909E-2</v>
      </c>
      <c r="Y23">
        <v>2.652152827455594E-2</v>
      </c>
      <c r="Z23" s="1">
        <v>0.63962962962962966</v>
      </c>
      <c r="AA23" s="1">
        <v>0.64100694444444439</v>
      </c>
      <c r="AB23">
        <v>74.454789925120124</v>
      </c>
      <c r="AC23">
        <v>72.628187768500453</v>
      </c>
      <c r="AD23">
        <v>61.06172413793103</v>
      </c>
      <c r="AE23">
        <v>0.45931034482758598</v>
      </c>
      <c r="AF23">
        <v>1.4276309081740929E-2</v>
      </c>
      <c r="AG23">
        <v>2.35343210879328E-2</v>
      </c>
      <c r="AH23" s="1">
        <v>0.64101851851851854</v>
      </c>
      <c r="AI23" s="1">
        <v>0.64165509259259257</v>
      </c>
      <c r="AJ23">
        <v>5</v>
      </c>
      <c r="AK23">
        <v>4</v>
      </c>
      <c r="AL23">
        <v>321.02036092925232</v>
      </c>
      <c r="AM23">
        <v>481.04067742066582</v>
      </c>
      <c r="AN23">
        <v>26.41448780487805</v>
      </c>
      <c r="AO23">
        <v>0.5331707317073171</v>
      </c>
      <c r="AP23">
        <v>1.5493463525786561E-2</v>
      </c>
      <c r="AQ23">
        <v>3.0081662999736771E-2</v>
      </c>
      <c r="AR23" s="7">
        <v>0.64166666666666672</v>
      </c>
      <c r="AS23" s="7">
        <v>0.6430555555555556</v>
      </c>
      <c r="AT23">
        <v>91.452745886764561</v>
      </c>
      <c r="AU23">
        <v>107.1015018910432</v>
      </c>
      <c r="AV23">
        <v>60.130400000000009</v>
      </c>
      <c r="AW23">
        <v>0.51568888888888875</v>
      </c>
      <c r="AX23">
        <v>1.257821092537135E-2</v>
      </c>
      <c r="AY23">
        <v>2.2965028921900419E-2</v>
      </c>
      <c r="AZ23" s="7">
        <v>0.6430555555555556</v>
      </c>
      <c r="BA23" s="7">
        <v>0.66041666666666665</v>
      </c>
      <c r="BB23" t="s">
        <v>288</v>
      </c>
      <c r="BC23" t="s">
        <v>289</v>
      </c>
      <c r="BD23" t="s">
        <v>290</v>
      </c>
      <c r="BE23" t="s">
        <v>178</v>
      </c>
      <c r="BF23" t="s">
        <v>159</v>
      </c>
      <c r="BG23" t="s">
        <v>291</v>
      </c>
      <c r="BH23" t="s">
        <v>159</v>
      </c>
      <c r="BI23" t="s">
        <v>179</v>
      </c>
      <c r="BJ23" t="s">
        <v>292</v>
      </c>
      <c r="BK23" t="s">
        <v>179</v>
      </c>
      <c r="BL23" t="s">
        <v>293</v>
      </c>
      <c r="BM23" t="s">
        <v>179</v>
      </c>
      <c r="BN23" t="s">
        <v>294</v>
      </c>
      <c r="BO23" t="s">
        <v>179</v>
      </c>
      <c r="BP23" t="s">
        <v>295</v>
      </c>
      <c r="BQ23" t="s">
        <v>179</v>
      </c>
      <c r="BR23" t="s">
        <v>296</v>
      </c>
      <c r="BS23" t="s">
        <v>179</v>
      </c>
      <c r="BT23" t="s">
        <v>297</v>
      </c>
      <c r="BU23" t="s">
        <v>186</v>
      </c>
      <c r="BV23" t="s">
        <v>298</v>
      </c>
      <c r="BW23" t="s">
        <v>169</v>
      </c>
      <c r="BX23" t="s">
        <v>169</v>
      </c>
      <c r="BY23" t="s">
        <v>170</v>
      </c>
      <c r="BZ23" t="s">
        <v>170</v>
      </c>
      <c r="CA23" t="s">
        <v>170</v>
      </c>
      <c r="CB23" t="s">
        <v>171</v>
      </c>
      <c r="CC23" t="s">
        <v>171</v>
      </c>
      <c r="CD23" t="s">
        <v>171</v>
      </c>
      <c r="CE23" t="s">
        <v>172</v>
      </c>
      <c r="CF23" t="s">
        <v>171</v>
      </c>
      <c r="CH23" t="s">
        <v>170</v>
      </c>
      <c r="CI23" t="s">
        <v>171</v>
      </c>
      <c r="CJ23" t="s">
        <v>171</v>
      </c>
      <c r="CK23" t="s">
        <v>170</v>
      </c>
      <c r="CL23" t="s">
        <v>207</v>
      </c>
      <c r="CM23" t="s">
        <v>208</v>
      </c>
      <c r="CN23" t="s">
        <v>194</v>
      </c>
      <c r="CO23">
        <v>220.15425827338069</v>
      </c>
      <c r="CP23">
        <v>157.5997038914218</v>
      </c>
      <c r="CQ23">
        <v>749.24444528301888</v>
      </c>
      <c r="CR23">
        <v>0.53037547169811028</v>
      </c>
      <c r="CS23">
        <v>1.399534185534407E-2</v>
      </c>
      <c r="CT23">
        <v>2.2744509615805191E-2</v>
      </c>
    </row>
    <row r="24" spans="1:98">
      <c r="A24">
        <v>23</v>
      </c>
      <c r="B24" t="s">
        <v>99</v>
      </c>
      <c r="C24" t="s">
        <v>95</v>
      </c>
      <c r="D24">
        <v>25</v>
      </c>
      <c r="E24" t="s">
        <v>189</v>
      </c>
      <c r="F24" t="s">
        <v>299</v>
      </c>
      <c r="G24" s="1">
        <v>0.58777777777777773</v>
      </c>
      <c r="H24" s="1">
        <v>0.58750000000000002</v>
      </c>
      <c r="I24" s="1">
        <v>0.58888888888888891</v>
      </c>
      <c r="J24">
        <v>27.907432239343731</v>
      </c>
      <c r="K24">
        <v>14.907240068222761</v>
      </c>
      <c r="L24">
        <v>46.99108571428571</v>
      </c>
      <c r="M24">
        <v>0.48117142857142869</v>
      </c>
      <c r="N24">
        <v>1.85845379276088E-2</v>
      </c>
      <c r="O24">
        <v>4.5992571580150007E-2</v>
      </c>
      <c r="P24" s="1">
        <v>0.58917824074074077</v>
      </c>
      <c r="Q24" s="1">
        <v>0.5904166666666667</v>
      </c>
      <c r="R24">
        <v>7</v>
      </c>
      <c r="S24">
        <v>7</v>
      </c>
      <c r="T24">
        <v>31.867768530114809</v>
      </c>
      <c r="U24">
        <v>20.401199847652119</v>
      </c>
      <c r="V24">
        <v>52.397282051282048</v>
      </c>
      <c r="W24">
        <v>0.51356410256410301</v>
      </c>
      <c r="X24">
        <v>1.7272414526535891E-2</v>
      </c>
      <c r="Y24">
        <v>4.0729671600825933E-2</v>
      </c>
      <c r="Z24" s="1">
        <v>0.5904166666666667</v>
      </c>
      <c r="AA24" s="1">
        <v>0.59180555555555558</v>
      </c>
      <c r="AB24">
        <v>49.834607890495761</v>
      </c>
      <c r="AC24">
        <v>59.166626193932167</v>
      </c>
      <c r="AD24">
        <v>58.357576470588228</v>
      </c>
      <c r="AE24">
        <v>0.50910588235294096</v>
      </c>
      <c r="AF24">
        <v>1.5305188786885001E-2</v>
      </c>
      <c r="AG24">
        <v>3.5744179698431987E-2</v>
      </c>
      <c r="AH24" s="1">
        <v>0.59181712962962962</v>
      </c>
      <c r="AI24" s="1">
        <v>0.59293981481481484</v>
      </c>
      <c r="AJ24">
        <v>6</v>
      </c>
      <c r="AK24">
        <v>5</v>
      </c>
      <c r="AL24">
        <v>35.348119289187437</v>
      </c>
      <c r="AM24">
        <v>26.0198862941131</v>
      </c>
      <c r="AN24">
        <v>48.353710144927533</v>
      </c>
      <c r="AO24">
        <v>0.51797101449275273</v>
      </c>
      <c r="AP24">
        <v>1.6824906176359181E-2</v>
      </c>
      <c r="AQ24">
        <v>4.2316796274945237E-2</v>
      </c>
      <c r="AR24" s="7">
        <v>0.59236111111111112</v>
      </c>
      <c r="AS24" s="7">
        <v>0.59375</v>
      </c>
      <c r="AT24">
        <v>45.962144940233131</v>
      </c>
      <c r="AU24">
        <v>39.076847365159892</v>
      </c>
      <c r="AV24">
        <v>34.368122448979591</v>
      </c>
      <c r="AW24">
        <v>0.46277551020408247</v>
      </c>
      <c r="AX24">
        <v>1.929620882628541E-2</v>
      </c>
      <c r="AY24">
        <v>5.2978675629597072E-2</v>
      </c>
      <c r="AZ24" s="7">
        <v>0.59375</v>
      </c>
      <c r="BA24" s="7">
        <v>0.59930555555555554</v>
      </c>
      <c r="BB24" t="s">
        <v>133</v>
      </c>
      <c r="BC24" t="s">
        <v>133</v>
      </c>
      <c r="BD24" t="s">
        <v>133</v>
      </c>
      <c r="BE24" t="s">
        <v>133</v>
      </c>
      <c r="BF24" t="s">
        <v>133</v>
      </c>
      <c r="BG24" t="s">
        <v>133</v>
      </c>
      <c r="BH24" t="s">
        <v>133</v>
      </c>
      <c r="BI24" t="s">
        <v>133</v>
      </c>
      <c r="BJ24" t="s">
        <v>133</v>
      </c>
      <c r="BK24" t="s">
        <v>133</v>
      </c>
      <c r="BL24" t="s">
        <v>133</v>
      </c>
      <c r="BM24" t="s">
        <v>133</v>
      </c>
      <c r="BN24" t="s">
        <v>133</v>
      </c>
      <c r="BO24" t="s">
        <v>133</v>
      </c>
      <c r="BP24" t="s">
        <v>133</v>
      </c>
      <c r="BQ24" t="s">
        <v>131</v>
      </c>
      <c r="BR24" t="s">
        <v>300</v>
      </c>
      <c r="BS24" t="s">
        <v>131</v>
      </c>
      <c r="BT24" t="s">
        <v>301</v>
      </c>
      <c r="BU24" t="s">
        <v>302</v>
      </c>
      <c r="BV24" t="s">
        <v>303</v>
      </c>
      <c r="BW24" t="s">
        <v>112</v>
      </c>
      <c r="BX24" t="s">
        <v>113</v>
      </c>
      <c r="BY24" t="s">
        <v>112</v>
      </c>
      <c r="BZ24" t="s">
        <v>114</v>
      </c>
      <c r="CA24" t="s">
        <v>114</v>
      </c>
      <c r="CB24" t="s">
        <v>113</v>
      </c>
      <c r="CC24" t="s">
        <v>113</v>
      </c>
      <c r="CD24" t="s">
        <v>113</v>
      </c>
      <c r="CE24" t="s">
        <v>123</v>
      </c>
      <c r="CF24" t="s">
        <v>113</v>
      </c>
      <c r="CG24" t="s">
        <v>112</v>
      </c>
      <c r="CH24" t="s">
        <v>112</v>
      </c>
      <c r="CI24" t="s">
        <v>113</v>
      </c>
      <c r="CJ24" t="s">
        <v>113</v>
      </c>
      <c r="CK24" t="s">
        <v>112</v>
      </c>
      <c r="CL24" t="s">
        <v>116</v>
      </c>
      <c r="CM24" t="s">
        <v>124</v>
      </c>
      <c r="CN24" t="s">
        <v>116</v>
      </c>
      <c r="CO24">
        <v>43.642797339605458</v>
      </c>
      <c r="CP24">
        <v>47.437772733120042</v>
      </c>
      <c r="CQ24">
        <v>234.62005245901631</v>
      </c>
      <c r="CR24">
        <v>0.54773114754098506</v>
      </c>
      <c r="CS24">
        <v>2.308258170346154E-2</v>
      </c>
      <c r="CT24">
        <v>4.134291541328497E-2</v>
      </c>
    </row>
    <row r="25" spans="1:98">
      <c r="A25">
        <v>24</v>
      </c>
      <c r="B25" t="s">
        <v>99</v>
      </c>
      <c r="C25" t="s">
        <v>95</v>
      </c>
      <c r="D25">
        <v>27</v>
      </c>
      <c r="E25" t="s">
        <v>156</v>
      </c>
      <c r="F25" t="s">
        <v>304</v>
      </c>
      <c r="G25" s="1">
        <v>0.73119212962962965</v>
      </c>
      <c r="H25" s="1">
        <v>0.73124999999999996</v>
      </c>
      <c r="I25" s="1">
        <v>0.73263888888888884</v>
      </c>
      <c r="J25">
        <v>127.3961229016538</v>
      </c>
      <c r="K25">
        <v>178.73702508974259</v>
      </c>
      <c r="L25">
        <v>62.339230769230781</v>
      </c>
      <c r="M25">
        <v>0.48874725274725178</v>
      </c>
      <c r="N25">
        <v>1.4187757447167869E-2</v>
      </c>
      <c r="O25">
        <v>2.6145850332628839E-2</v>
      </c>
      <c r="P25" s="1">
        <v>0.73545138888888884</v>
      </c>
      <c r="Q25" s="1">
        <v>0.73659722222222224</v>
      </c>
      <c r="R25">
        <v>7</v>
      </c>
      <c r="S25">
        <v>7</v>
      </c>
      <c r="T25">
        <v>112.43668290569271</v>
      </c>
      <c r="U25">
        <v>183.36942173543059</v>
      </c>
      <c r="V25">
        <v>48.741413333333327</v>
      </c>
      <c r="W25">
        <v>0.50432000000000021</v>
      </c>
      <c r="X25">
        <v>1.208280287907037E-2</v>
      </c>
      <c r="Y25">
        <v>2.3901626228548991E-2</v>
      </c>
      <c r="Z25" s="1">
        <v>0.73659722222222224</v>
      </c>
      <c r="AA25" s="1">
        <v>0.73798611111111112</v>
      </c>
      <c r="AB25">
        <v>107.5331017192746</v>
      </c>
      <c r="AC25">
        <v>141.54643739562479</v>
      </c>
      <c r="AD25">
        <v>59.691701149425278</v>
      </c>
      <c r="AE25">
        <v>0.42905747126436788</v>
      </c>
      <c r="AF25">
        <v>1.207208365526303E-2</v>
      </c>
      <c r="AG25">
        <v>2.3317591510147801E-2</v>
      </c>
      <c r="AH25" s="1">
        <v>0.73799768518518516</v>
      </c>
      <c r="AI25" s="1">
        <v>0.73901620370370369</v>
      </c>
      <c r="AJ25">
        <v>6</v>
      </c>
      <c r="AK25">
        <v>6</v>
      </c>
      <c r="AL25">
        <v>0</v>
      </c>
      <c r="AN25">
        <v>43.238812499999987</v>
      </c>
      <c r="AO25">
        <v>0.53621875000000008</v>
      </c>
      <c r="AP25">
        <v>1.312719127469115E-2</v>
      </c>
      <c r="AQ25">
        <v>2.61637988976543E-2</v>
      </c>
      <c r="AR25" s="7">
        <v>0.73888888888888893</v>
      </c>
      <c r="AS25" s="7">
        <v>0.74027777777777781</v>
      </c>
      <c r="AT25">
        <v>126.6197053354406</v>
      </c>
      <c r="AU25">
        <v>178.20536619971111</v>
      </c>
      <c r="AV25">
        <v>54.545574999999999</v>
      </c>
      <c r="AW25">
        <v>0.52995000000000003</v>
      </c>
      <c r="AX25">
        <v>1.211897468622836E-2</v>
      </c>
      <c r="AY25">
        <v>2.3567057917552849E-2</v>
      </c>
      <c r="AZ25" s="7">
        <v>0.74027777777777781</v>
      </c>
      <c r="BA25" s="7">
        <v>0.74791666666666667</v>
      </c>
      <c r="BB25" t="s">
        <v>161</v>
      </c>
      <c r="BC25" t="s">
        <v>161</v>
      </c>
      <c r="BD25" t="s">
        <v>161</v>
      </c>
      <c r="BE25" t="s">
        <v>179</v>
      </c>
      <c r="BF25" t="s">
        <v>305</v>
      </c>
      <c r="BG25" t="s">
        <v>161</v>
      </c>
      <c r="BH25" t="s">
        <v>159</v>
      </c>
      <c r="BI25" t="s">
        <v>178</v>
      </c>
      <c r="BJ25" t="s">
        <v>159</v>
      </c>
      <c r="BK25" t="s">
        <v>178</v>
      </c>
      <c r="BL25" t="s">
        <v>159</v>
      </c>
      <c r="BM25" t="s">
        <v>179</v>
      </c>
      <c r="BN25" t="s">
        <v>252</v>
      </c>
      <c r="BO25" t="s">
        <v>178</v>
      </c>
      <c r="BP25" t="s">
        <v>306</v>
      </c>
      <c r="BQ25" t="s">
        <v>178</v>
      </c>
      <c r="BR25" t="s">
        <v>159</v>
      </c>
      <c r="BS25" t="s">
        <v>179</v>
      </c>
      <c r="BT25" t="s">
        <v>307</v>
      </c>
      <c r="BU25" t="s">
        <v>308</v>
      </c>
      <c r="BV25" t="s">
        <v>309</v>
      </c>
      <c r="BW25" t="s">
        <v>171</v>
      </c>
      <c r="BX25" t="s">
        <v>170</v>
      </c>
      <c r="BY25" t="s">
        <v>171</v>
      </c>
      <c r="BZ25" t="s">
        <v>169</v>
      </c>
      <c r="CA25" t="s">
        <v>169</v>
      </c>
      <c r="CB25" t="s">
        <v>170</v>
      </c>
      <c r="CC25" t="s">
        <v>169</v>
      </c>
      <c r="CD25" t="s">
        <v>171</v>
      </c>
      <c r="CE25" t="s">
        <v>170</v>
      </c>
      <c r="CF25" t="s">
        <v>170</v>
      </c>
      <c r="CH25" t="s">
        <v>171</v>
      </c>
      <c r="CI25" t="s">
        <v>171</v>
      </c>
      <c r="CJ25" t="s">
        <v>169</v>
      </c>
      <c r="CK25" t="s">
        <v>171</v>
      </c>
      <c r="CL25" t="s">
        <v>207</v>
      </c>
      <c r="CM25" t="s">
        <v>175</v>
      </c>
      <c r="CN25" t="s">
        <v>194</v>
      </c>
      <c r="CO25">
        <v>313.33754492323948</v>
      </c>
      <c r="CP25">
        <v>417.51690377443259</v>
      </c>
      <c r="CQ25">
        <v>333.44239406779661</v>
      </c>
      <c r="CR25">
        <v>0.48533050847457498</v>
      </c>
      <c r="CS25">
        <v>1.4782487379967081E-2</v>
      </c>
      <c r="CT25">
        <v>2.3458306588601419E-2</v>
      </c>
    </row>
    <row r="26" spans="1:98">
      <c r="A26">
        <v>25</v>
      </c>
      <c r="B26" t="s">
        <v>310</v>
      </c>
      <c r="C26" t="s">
        <v>125</v>
      </c>
      <c r="D26">
        <v>30</v>
      </c>
      <c r="E26" t="s">
        <v>138</v>
      </c>
      <c r="F26" t="s">
        <v>311</v>
      </c>
      <c r="G26" s="1">
        <v>0.43942129629629628</v>
      </c>
      <c r="H26" s="1">
        <v>0.43958333333333333</v>
      </c>
      <c r="I26" s="1">
        <v>0.44097222222222221</v>
      </c>
      <c r="J26">
        <v>234.8976930095331</v>
      </c>
      <c r="K26">
        <v>329.87824962320428</v>
      </c>
      <c r="L26">
        <v>59.856079999999992</v>
      </c>
      <c r="M26">
        <v>0.45992000000000027</v>
      </c>
      <c r="N26">
        <v>2.4013930573590719E-2</v>
      </c>
      <c r="O26">
        <v>6.4246800959122677E-2</v>
      </c>
      <c r="P26" s="1">
        <v>0.44097222222222221</v>
      </c>
      <c r="Q26" s="1">
        <v>0.44210648148148152</v>
      </c>
      <c r="R26">
        <v>6</v>
      </c>
      <c r="S26">
        <v>5</v>
      </c>
      <c r="T26">
        <v>177.5951203631798</v>
      </c>
      <c r="U26">
        <v>254.1430265934944</v>
      </c>
      <c r="V26">
        <v>49.790058823529407</v>
      </c>
      <c r="W26">
        <v>0.45070588235294079</v>
      </c>
      <c r="X26">
        <v>2.0150059254858421E-2</v>
      </c>
      <c r="Y26">
        <v>5.4151250416140898E-2</v>
      </c>
      <c r="Z26" s="1">
        <v>0.44210648148148152</v>
      </c>
      <c r="AA26" s="1">
        <v>0.44349537037037029</v>
      </c>
      <c r="AB26">
        <v>111.5951417996732</v>
      </c>
      <c r="AC26">
        <v>141.47018531596419</v>
      </c>
      <c r="AD26">
        <v>58.973692307692303</v>
      </c>
      <c r="AE26">
        <v>0.48382417582417531</v>
      </c>
      <c r="AF26">
        <v>1.368509919731508E-2</v>
      </c>
      <c r="AG26">
        <v>3.9394885323479158E-2</v>
      </c>
      <c r="AH26" s="1">
        <v>0.44363425925925931</v>
      </c>
      <c r="AI26" s="1">
        <v>0.44479166666666659</v>
      </c>
      <c r="AJ26">
        <v>6</v>
      </c>
      <c r="AK26">
        <v>6</v>
      </c>
      <c r="AL26">
        <v>94.686906467632696</v>
      </c>
      <c r="AM26">
        <v>103.68856170984979</v>
      </c>
      <c r="AN26">
        <v>49.441342465753422</v>
      </c>
      <c r="AO26">
        <v>0.50827397260273977</v>
      </c>
      <c r="AP26">
        <v>1.381579187950297E-2</v>
      </c>
      <c r="AQ26">
        <v>4.0475044824701129E-2</v>
      </c>
      <c r="AR26" s="7">
        <v>0.44444444444444442</v>
      </c>
      <c r="AS26" s="7">
        <v>0.44583333333333341</v>
      </c>
      <c r="AT26">
        <v>480.83261120685228</v>
      </c>
      <c r="AU26">
        <v>679.99999999999989</v>
      </c>
      <c r="AV26">
        <v>42.97867647058824</v>
      </c>
      <c r="AW26">
        <v>0.54241176470588259</v>
      </c>
      <c r="AX26">
        <v>1.36943214705019E-2</v>
      </c>
      <c r="AY26">
        <v>4.124087847025925E-2</v>
      </c>
      <c r="AZ26" s="7">
        <v>0.44583333333333341</v>
      </c>
      <c r="BA26" s="7">
        <v>0.45277777777777778</v>
      </c>
      <c r="BB26" t="s">
        <v>312</v>
      </c>
      <c r="BC26" t="s">
        <v>313</v>
      </c>
      <c r="BD26" t="s">
        <v>314</v>
      </c>
      <c r="BE26" t="s">
        <v>178</v>
      </c>
      <c r="BF26" t="s">
        <v>159</v>
      </c>
      <c r="BG26" t="s">
        <v>178</v>
      </c>
      <c r="BH26" t="s">
        <v>159</v>
      </c>
      <c r="BI26" t="s">
        <v>179</v>
      </c>
      <c r="BJ26" t="s">
        <v>315</v>
      </c>
      <c r="BK26" t="s">
        <v>178</v>
      </c>
      <c r="BL26" t="s">
        <v>159</v>
      </c>
      <c r="BM26" t="s">
        <v>178</v>
      </c>
      <c r="BN26" t="s">
        <v>159</v>
      </c>
      <c r="BO26" t="s">
        <v>162</v>
      </c>
      <c r="BP26" t="s">
        <v>316</v>
      </c>
      <c r="BQ26" t="s">
        <v>178</v>
      </c>
      <c r="BR26" t="s">
        <v>159</v>
      </c>
      <c r="BS26" t="s">
        <v>179</v>
      </c>
      <c r="BT26" t="s">
        <v>317</v>
      </c>
      <c r="BU26" t="s">
        <v>318</v>
      </c>
      <c r="BV26" t="s">
        <v>319</v>
      </c>
      <c r="BW26" t="s">
        <v>171</v>
      </c>
      <c r="BX26" t="s">
        <v>171</v>
      </c>
      <c r="BY26" t="s">
        <v>173</v>
      </c>
      <c r="BZ26" t="s">
        <v>169</v>
      </c>
      <c r="CA26" t="s">
        <v>173</v>
      </c>
      <c r="CB26" t="s">
        <v>169</v>
      </c>
      <c r="CC26" t="s">
        <v>169</v>
      </c>
      <c r="CD26" t="s">
        <v>169</v>
      </c>
      <c r="CE26" t="s">
        <v>169</v>
      </c>
      <c r="CF26" t="s">
        <v>171</v>
      </c>
      <c r="CH26" t="s">
        <v>170</v>
      </c>
      <c r="CI26" t="s">
        <v>170</v>
      </c>
      <c r="CJ26" t="s">
        <v>172</v>
      </c>
      <c r="CK26" t="s">
        <v>173</v>
      </c>
      <c r="CL26" t="s">
        <v>175</v>
      </c>
      <c r="CM26" t="s">
        <v>208</v>
      </c>
      <c r="CN26" t="s">
        <v>174</v>
      </c>
      <c r="CO26">
        <v>414.25839119585441</v>
      </c>
      <c r="CP26">
        <v>567.12012734970756</v>
      </c>
      <c r="CQ26">
        <v>297.29417460317461</v>
      </c>
      <c r="CR26">
        <v>0.46648677248677389</v>
      </c>
      <c r="CS26">
        <v>1.979422368781374E-2</v>
      </c>
      <c r="CT26">
        <v>3.8059217336700819E-2</v>
      </c>
    </row>
    <row r="28" spans="1:98">
      <c r="P28" t="s">
        <v>320</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T26"/>
  <sheetViews>
    <sheetView topLeftCell="AF1" workbookViewId="0">
      <selection activeCell="M38" sqref="M38"/>
    </sheetView>
  </sheetViews>
  <sheetFormatPr defaultRowHeight="14.25"/>
  <cols>
    <col min="5" max="5" width="18.75" customWidth="1"/>
    <col min="6" max="6" width="10.125" bestFit="1" customWidth="1"/>
    <col min="7" max="7" width="23.875" bestFit="1" customWidth="1"/>
    <col min="8" max="8" width="19" bestFit="1" customWidth="1"/>
    <col min="9" max="9" width="18.25" bestFit="1" customWidth="1"/>
    <col min="10" max="11" width="15.75" customWidth="1"/>
    <col min="12" max="12" width="26.125" customWidth="1"/>
    <col min="13" max="13" width="24.625" bestFit="1" customWidth="1"/>
    <col min="14" max="14" width="20.625" bestFit="1" customWidth="1"/>
    <col min="15" max="15" width="25" bestFit="1" customWidth="1"/>
    <col min="16" max="16" width="13.875" bestFit="1" customWidth="1"/>
    <col min="17" max="17" width="13.25" bestFit="1" customWidth="1"/>
    <col min="18" max="18" width="12" bestFit="1" customWidth="1"/>
    <col min="19" max="19" width="18.375" bestFit="1" customWidth="1"/>
    <col min="20" max="20" width="18.125" customWidth="1"/>
    <col min="21" max="21" width="13.25" customWidth="1"/>
    <col min="22" max="22" width="16.25" bestFit="1" customWidth="1"/>
    <col min="23" max="23" width="27.5" bestFit="1" customWidth="1"/>
    <col min="24" max="24" width="23" bestFit="1" customWidth="1"/>
    <col min="25" max="25" width="26" bestFit="1" customWidth="1"/>
    <col min="26" max="26" width="19" bestFit="1" customWidth="1"/>
    <col min="27" max="27" width="18.25" bestFit="1" customWidth="1"/>
    <col min="28" max="28" width="17.5" customWidth="1"/>
    <col min="29" max="29" width="14.25" customWidth="1"/>
    <col min="30" max="30" width="17.375" bestFit="1" customWidth="1"/>
    <col min="31" max="31" width="28.5" bestFit="1" customWidth="1"/>
    <col min="32" max="32" width="23.875" bestFit="1" customWidth="1"/>
    <col min="33" max="33" width="26" bestFit="1" customWidth="1"/>
    <col min="34" max="34" width="13.875" style="11" bestFit="1" customWidth="1"/>
    <col min="35" max="35" width="13.25" bestFit="1" customWidth="1"/>
    <col min="36" max="36" width="12" bestFit="1" customWidth="1"/>
    <col min="37" max="37" width="18.5" bestFit="1" customWidth="1"/>
    <col min="38" max="38" width="18.625" customWidth="1"/>
    <col min="39" max="39" width="14.25" customWidth="1"/>
    <col min="40" max="40" width="17.375" bestFit="1" customWidth="1"/>
    <col min="41" max="41" width="28.5" bestFit="1" customWidth="1"/>
    <col min="42" max="42" width="23.875" bestFit="1" customWidth="1"/>
    <col min="43" max="43" width="26" bestFit="1" customWidth="1"/>
    <col min="44" max="44" width="19" bestFit="1" customWidth="1"/>
    <col min="45" max="45" width="18.25" bestFit="1" customWidth="1"/>
    <col min="46" max="46" width="17.125" customWidth="1"/>
    <col min="47" max="47" width="14.25" customWidth="1"/>
    <col min="48" max="48" width="17.375" bestFit="1" customWidth="1"/>
    <col min="49" max="49" width="28.5" bestFit="1" customWidth="1"/>
    <col min="50" max="50" width="23.875" bestFit="1" customWidth="1"/>
    <col min="51" max="51" width="26" bestFit="1" customWidth="1"/>
    <col min="52" max="52" width="8.875" style="10" customWidth="1"/>
    <col min="53" max="53" width="10.625" style="10" bestFit="1" customWidth="1"/>
    <col min="54" max="54" width="21.625" customWidth="1"/>
    <col min="55" max="55" width="20.875" customWidth="1"/>
    <col min="56" max="56" width="31.5" customWidth="1"/>
    <col min="58" max="58" width="17.625" customWidth="1"/>
    <col min="59" max="59" width="9.75" customWidth="1"/>
    <col min="62" max="62" width="29.5" customWidth="1"/>
    <col min="63" max="63" width="9" customWidth="1"/>
    <col min="64" max="64" width="22.375" customWidth="1"/>
    <col min="68" max="68" width="18.375" customWidth="1"/>
    <col min="72" max="72" width="21.5" customWidth="1"/>
    <col min="74" max="74" width="19.125" customWidth="1"/>
    <col min="86" max="86" width="14.875" customWidth="1"/>
    <col min="92" max="92" width="19.25" customWidth="1"/>
    <col min="93" max="93" width="17.125" customWidth="1"/>
    <col min="94" max="94" width="15.5" customWidth="1"/>
    <col min="98" max="98" width="26" bestFit="1" customWidth="1"/>
  </cols>
  <sheetData>
    <row r="1" spans="1:98" ht="114" customHeight="1">
      <c r="A1" t="s">
        <v>0</v>
      </c>
      <c r="B1" t="s">
        <v>1</v>
      </c>
      <c r="C1" t="s">
        <v>2</v>
      </c>
      <c r="D1" t="s">
        <v>3</v>
      </c>
      <c r="E1" t="s">
        <v>4</v>
      </c>
      <c r="F1" t="s">
        <v>5</v>
      </c>
      <c r="G1" t="s">
        <v>6</v>
      </c>
      <c r="H1" s="5" t="s">
        <v>321</v>
      </c>
      <c r="I1" s="5" t="s">
        <v>322</v>
      </c>
      <c r="J1" s="3" t="s">
        <v>9</v>
      </c>
      <c r="K1" s="3" t="s">
        <v>27</v>
      </c>
      <c r="L1" s="3" t="s">
        <v>11</v>
      </c>
      <c r="M1" s="3" t="s">
        <v>12</v>
      </c>
      <c r="N1" s="4" t="s">
        <v>13</v>
      </c>
      <c r="O1" s="4" t="s">
        <v>14</v>
      </c>
      <c r="P1" s="6" t="s">
        <v>323</v>
      </c>
      <c r="Q1" s="6" t="s">
        <v>324</v>
      </c>
      <c r="R1" t="s">
        <v>17</v>
      </c>
      <c r="S1" t="s">
        <v>18</v>
      </c>
      <c r="T1" s="3" t="s">
        <v>19</v>
      </c>
      <c r="U1" s="3" t="s">
        <v>27</v>
      </c>
      <c r="V1" s="3" t="s">
        <v>20</v>
      </c>
      <c r="W1" s="3" t="s">
        <v>21</v>
      </c>
      <c r="X1" s="4" t="s">
        <v>22</v>
      </c>
      <c r="Y1" s="4" t="s">
        <v>23</v>
      </c>
      <c r="Z1" s="5" t="s">
        <v>325</v>
      </c>
      <c r="AA1" s="5" t="s">
        <v>326</v>
      </c>
      <c r="AB1" s="3" t="s">
        <v>26</v>
      </c>
      <c r="AC1" s="3" t="s">
        <v>27</v>
      </c>
      <c r="AD1" s="3" t="s">
        <v>28</v>
      </c>
      <c r="AE1" s="3" t="s">
        <v>29</v>
      </c>
      <c r="AF1" s="4" t="s">
        <v>30</v>
      </c>
      <c r="AG1" s="4" t="s">
        <v>31</v>
      </c>
      <c r="AH1" s="6" t="s">
        <v>327</v>
      </c>
      <c r="AI1" s="6" t="s">
        <v>328</v>
      </c>
      <c r="AJ1" t="s">
        <v>34</v>
      </c>
      <c r="AK1" t="s">
        <v>35</v>
      </c>
      <c r="AL1" s="3" t="s">
        <v>36</v>
      </c>
      <c r="AM1" s="3" t="s">
        <v>27</v>
      </c>
      <c r="AN1" s="3" t="s">
        <v>37</v>
      </c>
      <c r="AO1" s="3" t="s">
        <v>329</v>
      </c>
      <c r="AP1" s="4" t="s">
        <v>39</v>
      </c>
      <c r="AQ1" s="4" t="s">
        <v>40</v>
      </c>
      <c r="AR1" s="5" t="s">
        <v>330</v>
      </c>
      <c r="AS1" s="5" t="s">
        <v>331</v>
      </c>
      <c r="AT1" s="3" t="s">
        <v>43</v>
      </c>
      <c r="AU1" s="3" t="s">
        <v>27</v>
      </c>
      <c r="AV1" s="3" t="s">
        <v>44</v>
      </c>
      <c r="AW1" s="3" t="s">
        <v>45</v>
      </c>
      <c r="AX1" s="4" t="s">
        <v>46</v>
      </c>
      <c r="AY1" s="4" t="s">
        <v>47</v>
      </c>
      <c r="AZ1" s="6" t="s">
        <v>332</v>
      </c>
      <c r="BA1" s="6" t="s">
        <v>333</v>
      </c>
      <c r="BB1" s="8" t="s">
        <v>50</v>
      </c>
      <c r="BC1" s="8" t="s">
        <v>51</v>
      </c>
      <c r="BD1" s="8" t="s">
        <v>52</v>
      </c>
      <c r="BE1" s="8" t="s">
        <v>53</v>
      </c>
      <c r="BF1" s="8" t="s">
        <v>54</v>
      </c>
      <c r="BG1" s="8" t="s">
        <v>55</v>
      </c>
      <c r="BH1" s="8" t="s">
        <v>56</v>
      </c>
      <c r="BI1" s="8" t="s">
        <v>57</v>
      </c>
      <c r="BJ1" s="8" t="s">
        <v>58</v>
      </c>
      <c r="BK1" s="8" t="s">
        <v>59</v>
      </c>
      <c r="BL1" s="8" t="s">
        <v>60</v>
      </c>
      <c r="BM1" s="8" t="s">
        <v>61</v>
      </c>
      <c r="BN1" s="8" t="s">
        <v>62</v>
      </c>
      <c r="BO1" s="8" t="s">
        <v>63</v>
      </c>
      <c r="BP1" s="8" t="s">
        <v>64</v>
      </c>
      <c r="BQ1" s="8" t="s">
        <v>65</v>
      </c>
      <c r="BR1" s="8" t="s">
        <v>66</v>
      </c>
      <c r="BS1" s="8" t="s">
        <v>67</v>
      </c>
      <c r="BT1" s="8" t="s">
        <v>68</v>
      </c>
      <c r="BU1" s="8" t="s">
        <v>69</v>
      </c>
      <c r="BV1" s="8" t="s">
        <v>70</v>
      </c>
      <c r="BW1" s="8" t="s">
        <v>71</v>
      </c>
      <c r="BX1" s="8" t="s">
        <v>72</v>
      </c>
      <c r="BY1" s="8" t="s">
        <v>73</v>
      </c>
      <c r="BZ1" s="8" t="s">
        <v>74</v>
      </c>
      <c r="CA1" s="8" t="s">
        <v>75</v>
      </c>
      <c r="CB1" s="8" t="s">
        <v>76</v>
      </c>
      <c r="CC1" s="8" t="s">
        <v>77</v>
      </c>
      <c r="CD1" s="8" t="s">
        <v>78</v>
      </c>
      <c r="CE1" s="8" t="s">
        <v>79</v>
      </c>
      <c r="CF1" s="8" t="s">
        <v>80</v>
      </c>
      <c r="CG1" s="8" t="s">
        <v>81</v>
      </c>
      <c r="CH1" s="8" t="s">
        <v>82</v>
      </c>
      <c r="CI1" s="8" t="s">
        <v>83</v>
      </c>
      <c r="CJ1" s="8" t="s">
        <v>84</v>
      </c>
      <c r="CK1" s="8" t="s">
        <v>85</v>
      </c>
      <c r="CL1" s="8" t="s">
        <v>86</v>
      </c>
      <c r="CM1" s="8" t="s">
        <v>87</v>
      </c>
      <c r="CN1" s="8" t="s">
        <v>88</v>
      </c>
      <c r="CO1" s="3" t="s">
        <v>89</v>
      </c>
      <c r="CP1" s="3" t="s">
        <v>27</v>
      </c>
      <c r="CQ1" s="3" t="s">
        <v>90</v>
      </c>
      <c r="CR1" s="3" t="s">
        <v>91</v>
      </c>
      <c r="CS1" s="4" t="s">
        <v>92</v>
      </c>
      <c r="CT1" s="4" t="s">
        <v>93</v>
      </c>
    </row>
    <row r="2" spans="1:98" ht="15" customHeight="1">
      <c r="A2">
        <v>1</v>
      </c>
      <c r="B2" t="s">
        <v>94</v>
      </c>
      <c r="C2" t="s">
        <v>95</v>
      </c>
      <c r="D2">
        <v>36</v>
      </c>
      <c r="E2" t="s">
        <v>189</v>
      </c>
      <c r="F2" t="s">
        <v>97</v>
      </c>
      <c r="G2" s="1">
        <v>0.59134259259259259</v>
      </c>
      <c r="H2" s="1">
        <v>0.60972222222222228</v>
      </c>
      <c r="I2" s="1">
        <v>0.61111111111111116</v>
      </c>
      <c r="J2">
        <v>147.9373318848709</v>
      </c>
      <c r="K2">
        <v>200.6612908420164</v>
      </c>
      <c r="L2">
        <v>59.441822222222207</v>
      </c>
      <c r="M2">
        <v>0.52933333333333321</v>
      </c>
      <c r="N2">
        <v>7.722596426179092E-3</v>
      </c>
      <c r="O2">
        <v>1.7420165196964731E-2</v>
      </c>
      <c r="P2" s="1">
        <v>0.6118055555555556</v>
      </c>
      <c r="Q2" s="9">
        <v>0.6127083333333333</v>
      </c>
      <c r="R2">
        <v>6</v>
      </c>
      <c r="S2">
        <v>6</v>
      </c>
      <c r="T2">
        <v>261.92319242510513</v>
      </c>
      <c r="U2">
        <v>370.2137520706404</v>
      </c>
      <c r="V2">
        <v>37.600806451612897</v>
      </c>
      <c r="W2">
        <v>0.53574193548387072</v>
      </c>
      <c r="X2">
        <v>7.2646996267173962E-3</v>
      </c>
      <c r="Y2">
        <v>1.773337722293691E-2</v>
      </c>
      <c r="Z2" s="9">
        <v>0.61271990740740745</v>
      </c>
      <c r="AA2" s="2">
        <v>0.61388888888888893</v>
      </c>
      <c r="AB2">
        <v>70.26261138203688</v>
      </c>
      <c r="AC2">
        <v>79.12680507926153</v>
      </c>
      <c r="AD2">
        <v>58.742048192771087</v>
      </c>
      <c r="AE2">
        <v>0.53780722891566279</v>
      </c>
      <c r="AF2">
        <v>7.4955537629562028E-3</v>
      </c>
      <c r="AG2">
        <v>1.8533473049523241E-2</v>
      </c>
      <c r="AH2" s="11">
        <v>0.61417824074074079</v>
      </c>
      <c r="AI2" s="2">
        <v>0.61556712962962967</v>
      </c>
      <c r="AJ2">
        <v>7</v>
      </c>
      <c r="AK2">
        <v>7</v>
      </c>
      <c r="AL2">
        <v>82.991171766609469</v>
      </c>
      <c r="AM2">
        <v>96.205885095683144</v>
      </c>
      <c r="AN2">
        <v>58.396999999999998</v>
      </c>
      <c r="AO2">
        <v>0.56107317073170693</v>
      </c>
      <c r="AP2">
        <v>9.3612008673773887E-3</v>
      </c>
      <c r="AQ2">
        <v>2.298851844307933E-2</v>
      </c>
      <c r="AR2" s="1">
        <v>0.61597222222222225</v>
      </c>
      <c r="AS2" s="1">
        <v>0.61736111111111114</v>
      </c>
      <c r="AT2">
        <v>242.08235513284569</v>
      </c>
      <c r="AU2">
        <v>284.0126757734526</v>
      </c>
      <c r="AV2">
        <v>61.115474999999989</v>
      </c>
      <c r="AW2">
        <v>0.52215000000000078</v>
      </c>
      <c r="AX2">
        <v>1.0447813359244639E-2</v>
      </c>
      <c r="AY2">
        <v>2.5756344534119451E-2</v>
      </c>
      <c r="AZ2" s="12">
        <v>0.61736111111111114</v>
      </c>
      <c r="BA2" s="12">
        <v>0.62083333333333335</v>
      </c>
      <c r="BB2" t="s">
        <v>98</v>
      </c>
      <c r="BC2" t="s">
        <v>98</v>
      </c>
      <c r="BD2" t="s">
        <v>98</v>
      </c>
      <c r="BE2" t="s">
        <v>98</v>
      </c>
      <c r="BF2" t="s">
        <v>98</v>
      </c>
      <c r="BG2" t="s">
        <v>98</v>
      </c>
      <c r="BH2" t="s">
        <v>98</v>
      </c>
      <c r="BI2" t="s">
        <v>98</v>
      </c>
      <c r="BJ2" t="s">
        <v>98</v>
      </c>
      <c r="BK2" t="s">
        <v>98</v>
      </c>
      <c r="BL2" t="s">
        <v>98</v>
      </c>
      <c r="BM2" t="s">
        <v>98</v>
      </c>
      <c r="BN2" t="s">
        <v>98</v>
      </c>
      <c r="BO2" t="s">
        <v>98</v>
      </c>
      <c r="BP2" t="s">
        <v>98</v>
      </c>
      <c r="BQ2" t="s">
        <v>98</v>
      </c>
      <c r="BR2" t="s">
        <v>98</v>
      </c>
      <c r="BS2" t="s">
        <v>98</v>
      </c>
      <c r="BT2" t="s">
        <v>98</v>
      </c>
      <c r="BU2" t="s">
        <v>98</v>
      </c>
      <c r="BV2" t="s">
        <v>98</v>
      </c>
      <c r="BW2" t="s">
        <v>98</v>
      </c>
      <c r="BX2" t="s">
        <v>98</v>
      </c>
      <c r="BY2" t="s">
        <v>98</v>
      </c>
      <c r="BZ2" t="s">
        <v>98</v>
      </c>
      <c r="CA2" t="s">
        <v>98</v>
      </c>
      <c r="CB2" t="s">
        <v>98</v>
      </c>
      <c r="CC2" t="s">
        <v>98</v>
      </c>
      <c r="CD2" t="s">
        <v>98</v>
      </c>
      <c r="CE2" t="s">
        <v>98</v>
      </c>
      <c r="CF2" t="s">
        <v>98</v>
      </c>
      <c r="CG2" t="s">
        <v>98</v>
      </c>
      <c r="CH2" t="s">
        <v>98</v>
      </c>
      <c r="CI2" t="s">
        <v>98</v>
      </c>
      <c r="CJ2" t="s">
        <v>98</v>
      </c>
      <c r="CK2" t="s">
        <v>98</v>
      </c>
      <c r="CL2" t="s">
        <v>98</v>
      </c>
      <c r="CM2" t="s">
        <v>98</v>
      </c>
      <c r="CN2" t="s">
        <v>98</v>
      </c>
      <c r="CO2">
        <v>122.176005658893</v>
      </c>
      <c r="CP2">
        <v>171.04520199644699</v>
      </c>
      <c r="CQ2">
        <v>148.65485185185179</v>
      </c>
      <c r="CR2">
        <v>0.54450925925925975</v>
      </c>
      <c r="CS2">
        <v>6.3667004771701058E-3</v>
      </c>
      <c r="CT2">
        <v>1.395376525298141E-2</v>
      </c>
    </row>
    <row r="3" spans="1:98" ht="15" customHeight="1">
      <c r="A3">
        <v>2</v>
      </c>
      <c r="B3" t="s">
        <v>99</v>
      </c>
      <c r="C3" t="s">
        <v>95</v>
      </c>
      <c r="D3">
        <v>24</v>
      </c>
      <c r="E3" t="s">
        <v>334</v>
      </c>
      <c r="F3" t="s">
        <v>100</v>
      </c>
      <c r="G3" s="1">
        <v>0.4465277777777778</v>
      </c>
      <c r="H3" s="1">
        <v>0.46041666666666659</v>
      </c>
      <c r="I3" s="1">
        <v>0.46180555555555558</v>
      </c>
      <c r="J3">
        <v>134.58117890063909</v>
      </c>
      <c r="K3">
        <v>127.4623709178521</v>
      </c>
      <c r="L3">
        <v>59.790068181818178</v>
      </c>
      <c r="M3">
        <v>0.53027272727272723</v>
      </c>
      <c r="N3">
        <v>7.1368789091344354E-3</v>
      </c>
      <c r="O3">
        <v>1.527782410369068E-2</v>
      </c>
      <c r="P3" s="1">
        <v>0.46265046296296303</v>
      </c>
      <c r="Q3" s="1">
        <v>0.46375</v>
      </c>
      <c r="R3">
        <v>7</v>
      </c>
      <c r="S3">
        <v>7</v>
      </c>
      <c r="T3">
        <v>184.71309191141751</v>
      </c>
      <c r="U3">
        <v>164.8888698303785</v>
      </c>
      <c r="V3">
        <v>81.583365079365066</v>
      </c>
      <c r="W3">
        <v>0.46882539682539642</v>
      </c>
      <c r="X3">
        <v>7.0572412722823474E-3</v>
      </c>
      <c r="Y3">
        <v>1.3981590116374379E-2</v>
      </c>
      <c r="Z3" s="1">
        <v>0.46388888888888891</v>
      </c>
      <c r="AA3" s="1">
        <v>0.46527777777777779</v>
      </c>
      <c r="AB3">
        <v>111.5999417388918</v>
      </c>
      <c r="AC3">
        <v>88.562301517067752</v>
      </c>
      <c r="AD3">
        <v>60.129883720930231</v>
      </c>
      <c r="AE3">
        <v>0.45488372093023199</v>
      </c>
      <c r="AF3">
        <v>7.6806238278214114E-3</v>
      </c>
      <c r="AG3">
        <v>1.685084394917756E-2</v>
      </c>
      <c r="AH3" s="11">
        <v>0.46528935185185177</v>
      </c>
      <c r="AI3" s="1">
        <v>0.46637731481481481</v>
      </c>
      <c r="AJ3">
        <v>6</v>
      </c>
      <c r="AK3">
        <v>6</v>
      </c>
      <c r="AL3">
        <v>124.95847308375841</v>
      </c>
      <c r="AM3">
        <v>54.753798905862027</v>
      </c>
      <c r="AN3">
        <v>45.6978082191781</v>
      </c>
      <c r="AO3">
        <v>0.52868493150684992</v>
      </c>
      <c r="AP3">
        <v>8.001115844549489E-3</v>
      </c>
      <c r="AQ3">
        <v>1.8880168003662059E-2</v>
      </c>
      <c r="AR3" s="1">
        <v>0.46666666666666667</v>
      </c>
      <c r="AS3" s="1">
        <v>0.46805555555555561</v>
      </c>
      <c r="AT3">
        <v>178.8158806189771</v>
      </c>
      <c r="AU3">
        <v>132.39300997752531</v>
      </c>
      <c r="AV3">
        <v>60.49914606741573</v>
      </c>
      <c r="AW3">
        <v>0.47986516853932598</v>
      </c>
      <c r="AX3">
        <v>7.6933200665469494E-3</v>
      </c>
      <c r="AY3">
        <v>1.7074238949767589E-2</v>
      </c>
      <c r="AZ3" s="10">
        <v>0.46805555555555561</v>
      </c>
      <c r="BA3" s="10">
        <v>0.47291666666666671</v>
      </c>
      <c r="BB3" t="s">
        <v>101</v>
      </c>
      <c r="BC3" t="s">
        <v>335</v>
      </c>
      <c r="BD3" t="s">
        <v>336</v>
      </c>
      <c r="BE3" t="s">
        <v>101</v>
      </c>
      <c r="BF3" t="s">
        <v>337</v>
      </c>
      <c r="BG3" t="s">
        <v>105</v>
      </c>
      <c r="BH3" t="s">
        <v>106</v>
      </c>
      <c r="BI3" t="s">
        <v>101</v>
      </c>
      <c r="BJ3" t="s">
        <v>338</v>
      </c>
      <c r="BK3" t="s">
        <v>105</v>
      </c>
      <c r="BL3" t="s">
        <v>106</v>
      </c>
      <c r="BM3" t="s">
        <v>101</v>
      </c>
      <c r="BN3" t="s">
        <v>240</v>
      </c>
      <c r="BO3" t="s">
        <v>101</v>
      </c>
      <c r="BP3" t="s">
        <v>339</v>
      </c>
      <c r="BQ3" t="s">
        <v>105</v>
      </c>
      <c r="BR3" t="s">
        <v>106</v>
      </c>
      <c r="BS3" t="s">
        <v>101</v>
      </c>
      <c r="BT3" t="s">
        <v>340</v>
      </c>
      <c r="BU3" t="s">
        <v>109</v>
      </c>
      <c r="BV3" t="s">
        <v>341</v>
      </c>
      <c r="BW3" t="s">
        <v>111</v>
      </c>
      <c r="BX3" t="s">
        <v>112</v>
      </c>
      <c r="BY3" t="s">
        <v>111</v>
      </c>
      <c r="BZ3" t="s">
        <v>112</v>
      </c>
      <c r="CA3" t="s">
        <v>113</v>
      </c>
      <c r="CB3" t="s">
        <v>112</v>
      </c>
      <c r="CC3" t="s">
        <v>111</v>
      </c>
      <c r="CD3" t="s">
        <v>111</v>
      </c>
      <c r="CE3" t="s">
        <v>113</v>
      </c>
      <c r="CF3" t="s">
        <v>112</v>
      </c>
      <c r="CG3" t="s">
        <v>111</v>
      </c>
      <c r="CH3" t="s">
        <v>111</v>
      </c>
      <c r="CI3" t="s">
        <v>114</v>
      </c>
      <c r="CJ3" t="s">
        <v>113</v>
      </c>
      <c r="CK3" t="s">
        <v>113</v>
      </c>
      <c r="CL3" t="s">
        <v>115</v>
      </c>
      <c r="CM3" t="s">
        <v>116</v>
      </c>
      <c r="CN3" t="s">
        <v>117</v>
      </c>
      <c r="CO3">
        <v>120.11267764672979</v>
      </c>
      <c r="CP3">
        <v>109.7969151962165</v>
      </c>
      <c r="CQ3">
        <v>208.71599348534201</v>
      </c>
      <c r="CR3">
        <v>0.48572638436482241</v>
      </c>
      <c r="CS3">
        <v>7.2828544575883614E-3</v>
      </c>
      <c r="CT3">
        <v>1.345180603663647E-2</v>
      </c>
    </row>
    <row r="4" spans="1:98" ht="15" customHeight="1">
      <c r="A4">
        <v>3</v>
      </c>
      <c r="B4" t="s">
        <v>118</v>
      </c>
      <c r="C4" t="s">
        <v>95</v>
      </c>
      <c r="D4">
        <v>21</v>
      </c>
      <c r="E4" t="s">
        <v>138</v>
      </c>
      <c r="F4" t="s">
        <v>100</v>
      </c>
      <c r="G4" s="1">
        <v>0.56918981481481479</v>
      </c>
      <c r="H4" s="1">
        <v>0.58263888888888893</v>
      </c>
      <c r="I4" s="1">
        <v>0.59097222222222223</v>
      </c>
      <c r="J4">
        <v>399.31764664673551</v>
      </c>
      <c r="K4">
        <v>534.79630028876409</v>
      </c>
      <c r="L4">
        <v>360.74862239089191</v>
      </c>
      <c r="M4">
        <v>0.50651612903225784</v>
      </c>
      <c r="N4">
        <v>6.5484379306223646E-3</v>
      </c>
      <c r="O4">
        <v>1.1662402323430771E-2</v>
      </c>
      <c r="P4" s="1">
        <v>0.59207175925925926</v>
      </c>
      <c r="Q4" s="1">
        <v>0.59319444444444447</v>
      </c>
      <c r="R4">
        <v>7</v>
      </c>
      <c r="S4">
        <v>7</v>
      </c>
      <c r="T4">
        <v>291.00160506831241</v>
      </c>
      <c r="U4">
        <v>434.48807913346832</v>
      </c>
      <c r="V4">
        <v>49.037352112676047</v>
      </c>
      <c r="W4">
        <v>0.47738028169013991</v>
      </c>
      <c r="X4">
        <v>7.4712633318897671E-3</v>
      </c>
      <c r="Y4">
        <v>1.9127876409048141E-2</v>
      </c>
      <c r="Z4" s="1">
        <v>0.59320601851851851</v>
      </c>
      <c r="AA4" s="1">
        <v>0.59458333333333335</v>
      </c>
      <c r="AB4">
        <v>217.84453781502</v>
      </c>
      <c r="AC4">
        <v>274.00254087337191</v>
      </c>
      <c r="AD4">
        <v>57.94077272727273</v>
      </c>
      <c r="AE4">
        <v>0.59174999999999989</v>
      </c>
      <c r="AF4">
        <v>8.3586692886922498E-3</v>
      </c>
      <c r="AG4">
        <v>1.9459387662435251E-2</v>
      </c>
      <c r="AH4" s="11">
        <v>0.59459490740740739</v>
      </c>
      <c r="AI4" s="1">
        <v>0.59461805555555558</v>
      </c>
      <c r="AJ4">
        <v>1</v>
      </c>
      <c r="AK4">
        <v>0</v>
      </c>
      <c r="AL4">
        <v>0</v>
      </c>
      <c r="AN4">
        <v>0</v>
      </c>
      <c r="AO4">
        <v>0</v>
      </c>
      <c r="AP4">
        <v>0</v>
      </c>
      <c r="AQ4">
        <v>0</v>
      </c>
      <c r="AR4" s="1">
        <v>0.59462962962962962</v>
      </c>
      <c r="AS4" s="1">
        <v>0.59600694444444446</v>
      </c>
      <c r="AT4">
        <v>82.104262208006006</v>
      </c>
      <c r="AU4">
        <v>79.503607021391403</v>
      </c>
      <c r="AV4">
        <v>59.150760869565218</v>
      </c>
      <c r="AW4">
        <v>0.49506521739130438</v>
      </c>
      <c r="AX4">
        <v>7.9302976118270398E-3</v>
      </c>
      <c r="AY4">
        <v>1.8997364034337969E-2</v>
      </c>
      <c r="AZ4" s="10">
        <v>0.59583333333333333</v>
      </c>
      <c r="BA4" s="10">
        <v>0.59861111111111109</v>
      </c>
      <c r="BB4" s="13" t="s">
        <v>101</v>
      </c>
      <c r="BC4" t="s">
        <v>342</v>
      </c>
      <c r="BD4" t="s">
        <v>343</v>
      </c>
      <c r="BE4" t="s">
        <v>105</v>
      </c>
      <c r="BF4" t="s">
        <v>106</v>
      </c>
      <c r="BG4" t="s">
        <v>105</v>
      </c>
      <c r="BH4" t="s">
        <v>106</v>
      </c>
      <c r="BI4" t="s">
        <v>101</v>
      </c>
      <c r="BJ4" t="s">
        <v>344</v>
      </c>
      <c r="BK4" t="s">
        <v>101</v>
      </c>
      <c r="BL4" t="s">
        <v>345</v>
      </c>
      <c r="BM4" t="s">
        <v>105</v>
      </c>
      <c r="BN4" t="s">
        <v>106</v>
      </c>
      <c r="BO4" t="s">
        <v>105</v>
      </c>
      <c r="BP4" t="s">
        <v>106</v>
      </c>
      <c r="BQ4" t="s">
        <v>105</v>
      </c>
      <c r="BR4" t="s">
        <v>106</v>
      </c>
      <c r="BS4" t="s">
        <v>105</v>
      </c>
      <c r="BT4" t="s">
        <v>106</v>
      </c>
      <c r="BU4" t="s">
        <v>346</v>
      </c>
      <c r="BV4" t="s">
        <v>105</v>
      </c>
      <c r="BW4" t="s">
        <v>112</v>
      </c>
      <c r="BX4" t="s">
        <v>123</v>
      </c>
      <c r="BY4" t="s">
        <v>123</v>
      </c>
      <c r="BZ4" t="s">
        <v>111</v>
      </c>
      <c r="CA4" t="s">
        <v>112</v>
      </c>
      <c r="CB4" t="s">
        <v>111</v>
      </c>
      <c r="CC4" t="s">
        <v>123</v>
      </c>
      <c r="CD4" t="s">
        <v>123</v>
      </c>
      <c r="CE4" t="s">
        <v>111</v>
      </c>
      <c r="CF4" t="s">
        <v>123</v>
      </c>
      <c r="CG4" t="s">
        <v>112</v>
      </c>
      <c r="CH4" t="s">
        <v>112</v>
      </c>
      <c r="CI4" t="s">
        <v>123</v>
      </c>
      <c r="CJ4" t="s">
        <v>123</v>
      </c>
      <c r="CK4" t="s">
        <v>123</v>
      </c>
      <c r="CL4" t="s">
        <v>124</v>
      </c>
      <c r="CM4" t="s">
        <v>117</v>
      </c>
      <c r="CN4" t="s">
        <v>117</v>
      </c>
      <c r="CO4">
        <v>399.06317363268357</v>
      </c>
      <c r="CP4">
        <v>517.69854414388203</v>
      </c>
      <c r="CQ4">
        <v>111.4147239263804</v>
      </c>
      <c r="CR4">
        <v>0.51445398773006179</v>
      </c>
      <c r="CS4">
        <v>7.5049364924803458E-3</v>
      </c>
      <c r="CT4">
        <v>1.6036210011997131E-2</v>
      </c>
    </row>
    <row r="5" spans="1:98">
      <c r="A5">
        <v>4</v>
      </c>
      <c r="B5" t="s">
        <v>99</v>
      </c>
      <c r="C5" t="s">
        <v>125</v>
      </c>
      <c r="D5">
        <v>28</v>
      </c>
      <c r="E5" t="s">
        <v>189</v>
      </c>
      <c r="F5" t="s">
        <v>127</v>
      </c>
      <c r="G5" s="1">
        <v>0.46399305555555548</v>
      </c>
      <c r="H5" s="1">
        <v>0.4777777777777778</v>
      </c>
      <c r="I5" s="1">
        <v>0.47916666666666669</v>
      </c>
      <c r="J5">
        <v>101.33020152062581</v>
      </c>
      <c r="K5">
        <v>121.0380003588314</v>
      </c>
      <c r="L5">
        <v>57.8522278481013</v>
      </c>
      <c r="M5">
        <v>0.53645569620253108</v>
      </c>
      <c r="N5">
        <v>1.88174361433231E-2</v>
      </c>
      <c r="O5">
        <v>5.1954867073517937E-2</v>
      </c>
      <c r="P5" s="1">
        <v>0.47938657407407409</v>
      </c>
      <c r="Q5" s="1">
        <v>0.48068287037037039</v>
      </c>
      <c r="R5">
        <v>8</v>
      </c>
      <c r="S5">
        <v>8</v>
      </c>
      <c r="T5">
        <v>104.3178977882762</v>
      </c>
      <c r="U5">
        <v>120.97006281539581</v>
      </c>
      <c r="V5">
        <v>57.237012658227847</v>
      </c>
      <c r="W5">
        <v>0.55488607594936712</v>
      </c>
      <c r="X5">
        <v>1.691562238565391E-2</v>
      </c>
      <c r="Y5">
        <v>4.933759672059472E-2</v>
      </c>
      <c r="Z5" s="1">
        <v>0.48069444444444442</v>
      </c>
      <c r="AA5" s="1">
        <v>0.48207175925925932</v>
      </c>
      <c r="AB5">
        <v>167.20132431044851</v>
      </c>
      <c r="AC5">
        <v>243.46597733401171</v>
      </c>
      <c r="AD5">
        <v>60.515636363636361</v>
      </c>
      <c r="AE5">
        <v>0.50968831168831141</v>
      </c>
      <c r="AF5">
        <v>1.6865478773652319E-2</v>
      </c>
      <c r="AG5">
        <v>5.0305167192263203E-2</v>
      </c>
      <c r="AH5" s="11">
        <v>0.48326388888888888</v>
      </c>
      <c r="AI5" s="1">
        <v>0.48428240740740741</v>
      </c>
      <c r="AJ5">
        <v>7</v>
      </c>
      <c r="AK5">
        <v>6</v>
      </c>
      <c r="AN5">
        <v>44.826451612903199</v>
      </c>
      <c r="AO5">
        <v>0.54287096774193555</v>
      </c>
      <c r="AP5">
        <v>1.7381734223095149E-2</v>
      </c>
      <c r="AQ5">
        <v>5.7218389777001527E-2</v>
      </c>
      <c r="AR5" s="1">
        <v>0.48429398148148151</v>
      </c>
      <c r="AS5" s="1">
        <v>0.4856712962962963</v>
      </c>
      <c r="AT5">
        <v>192.87644849692589</v>
      </c>
      <c r="AU5">
        <v>259.96163888403697</v>
      </c>
      <c r="AV5">
        <v>58.830769230769221</v>
      </c>
      <c r="AW5">
        <v>0.50138461538461621</v>
      </c>
      <c r="AX5">
        <v>1.4893768749535781E-2</v>
      </c>
      <c r="AY5">
        <v>4.7317433233639447E-2</v>
      </c>
      <c r="AZ5" s="10">
        <v>0.48541666666666672</v>
      </c>
      <c r="BA5" s="10">
        <v>0.48888888888888887</v>
      </c>
      <c r="BB5" t="s">
        <v>128</v>
      </c>
      <c r="BC5" t="s">
        <v>129</v>
      </c>
      <c r="BD5" t="s">
        <v>347</v>
      </c>
      <c r="BE5" t="s">
        <v>133</v>
      </c>
      <c r="BF5" t="s">
        <v>129</v>
      </c>
      <c r="BG5" t="s">
        <v>133</v>
      </c>
      <c r="BH5" t="s">
        <v>129</v>
      </c>
      <c r="BI5" t="s">
        <v>133</v>
      </c>
      <c r="BJ5" t="s">
        <v>129</v>
      </c>
      <c r="BK5" t="s">
        <v>131</v>
      </c>
      <c r="BL5" t="s">
        <v>348</v>
      </c>
      <c r="BM5" t="s">
        <v>133</v>
      </c>
      <c r="BN5" t="s">
        <v>129</v>
      </c>
      <c r="BO5" t="s">
        <v>131</v>
      </c>
      <c r="BP5" t="s">
        <v>349</v>
      </c>
      <c r="BQ5" t="s">
        <v>133</v>
      </c>
      <c r="BR5" t="s">
        <v>129</v>
      </c>
      <c r="BS5" t="s">
        <v>133</v>
      </c>
      <c r="BT5" t="s">
        <v>129</v>
      </c>
      <c r="BU5" t="s">
        <v>350</v>
      </c>
      <c r="BV5" t="s">
        <v>351</v>
      </c>
      <c r="BW5" t="s">
        <v>123</v>
      </c>
      <c r="BX5" t="s">
        <v>123</v>
      </c>
      <c r="BY5" t="s">
        <v>111</v>
      </c>
      <c r="BZ5" t="s">
        <v>111</v>
      </c>
      <c r="CA5" t="s">
        <v>112</v>
      </c>
      <c r="CB5" t="s">
        <v>111</v>
      </c>
      <c r="CC5" t="s">
        <v>112</v>
      </c>
      <c r="CD5" t="s">
        <v>123</v>
      </c>
      <c r="CE5" t="s">
        <v>112</v>
      </c>
      <c r="CF5" t="s">
        <v>111</v>
      </c>
      <c r="CG5" t="s">
        <v>112</v>
      </c>
      <c r="CH5" t="s">
        <v>123</v>
      </c>
      <c r="CI5" t="s">
        <v>111</v>
      </c>
      <c r="CJ5" t="s">
        <v>111</v>
      </c>
      <c r="CK5" t="s">
        <v>112</v>
      </c>
      <c r="CL5" t="s">
        <v>116</v>
      </c>
      <c r="CM5" t="s">
        <v>124</v>
      </c>
      <c r="CN5" t="s">
        <v>124</v>
      </c>
      <c r="CO5">
        <v>261.74298476624313</v>
      </c>
      <c r="CP5">
        <v>350.39098343113869</v>
      </c>
      <c r="CQ5">
        <v>138.96897267759559</v>
      </c>
      <c r="CR5">
        <v>0.52085245901639288</v>
      </c>
      <c r="CS5">
        <v>1.1651432415438369E-2</v>
      </c>
      <c r="CT5">
        <v>2.7570821842822089E-2</v>
      </c>
    </row>
    <row r="6" spans="1:98">
      <c r="A6">
        <v>5</v>
      </c>
      <c r="B6" t="s">
        <v>137</v>
      </c>
      <c r="C6" t="s">
        <v>125</v>
      </c>
      <c r="D6">
        <v>41</v>
      </c>
      <c r="E6" t="s">
        <v>334</v>
      </c>
      <c r="F6" t="s">
        <v>127</v>
      </c>
      <c r="G6" s="1">
        <v>0.56997685185185187</v>
      </c>
      <c r="H6" s="1">
        <v>0.5805555555555556</v>
      </c>
      <c r="I6" s="1">
        <v>0.58194444444444449</v>
      </c>
      <c r="J6">
        <v>28.972653670016239</v>
      </c>
      <c r="K6">
        <v>10.33927390077778</v>
      </c>
      <c r="L6">
        <v>58.556133333333328</v>
      </c>
      <c r="M6">
        <v>0.47933333333333339</v>
      </c>
      <c r="N6">
        <v>6.0679202121521596E-3</v>
      </c>
      <c r="O6">
        <v>1.5508197769063529E-2</v>
      </c>
      <c r="P6" s="1">
        <v>0.58261574074074074</v>
      </c>
      <c r="Q6" s="1">
        <v>0.58356481481481481</v>
      </c>
      <c r="R6">
        <v>6</v>
      </c>
      <c r="S6">
        <v>5</v>
      </c>
      <c r="T6">
        <v>308.20479607950278</v>
      </c>
      <c r="U6">
        <v>407.622858855743</v>
      </c>
      <c r="V6">
        <v>39.627525423728812</v>
      </c>
      <c r="W6">
        <v>0.50922033898305052</v>
      </c>
      <c r="X6">
        <v>6.9447328736871577E-3</v>
      </c>
      <c r="Y6">
        <v>1.9593465360498209E-2</v>
      </c>
      <c r="Z6" s="1">
        <v>0.58357638888888885</v>
      </c>
      <c r="AA6" s="1">
        <v>0.5849537037037037</v>
      </c>
      <c r="AB6">
        <v>33.550792896863364</v>
      </c>
      <c r="AC6">
        <v>12.629758167395361</v>
      </c>
      <c r="AD6">
        <v>48.81378947368421</v>
      </c>
      <c r="AE6">
        <v>0.52852631578947362</v>
      </c>
      <c r="AF6">
        <v>6.3436716915834463E-3</v>
      </c>
      <c r="AG6">
        <v>1.7873393996230769E-2</v>
      </c>
      <c r="AH6" s="11">
        <v>0.58501157407407411</v>
      </c>
      <c r="AI6" s="1">
        <v>0.58564814814814814</v>
      </c>
      <c r="AJ6">
        <v>5</v>
      </c>
      <c r="AK6">
        <v>4</v>
      </c>
      <c r="AL6">
        <v>21.150518774830239</v>
      </c>
      <c r="AM6">
        <v>16.47270469595092</v>
      </c>
      <c r="AN6">
        <v>27.02278048780488</v>
      </c>
      <c r="AO6">
        <v>0.51292682926829292</v>
      </c>
      <c r="AP6">
        <v>7.2101970514922842E-3</v>
      </c>
      <c r="AQ6">
        <v>2.3840528753716572E-2</v>
      </c>
      <c r="AR6" s="1">
        <v>0.58565972222222218</v>
      </c>
      <c r="AS6" s="1">
        <v>0.58703703703703702</v>
      </c>
      <c r="AT6">
        <v>21.96995836205819</v>
      </c>
      <c r="AU6">
        <v>11.441075281319369</v>
      </c>
      <c r="AV6">
        <v>58.695113636363637</v>
      </c>
      <c r="AW6">
        <v>0.51556818181818265</v>
      </c>
      <c r="AX6">
        <v>6.3284513307451003E-3</v>
      </c>
      <c r="AY6">
        <v>1.7884752442940861E-2</v>
      </c>
      <c r="AZ6" s="10">
        <v>0.58680555555555558</v>
      </c>
      <c r="BA6" s="10">
        <v>0.59027777777777779</v>
      </c>
      <c r="BB6" t="s">
        <v>281</v>
      </c>
      <c r="BC6" t="s">
        <v>106</v>
      </c>
      <c r="BD6" t="s">
        <v>352</v>
      </c>
      <c r="BE6" t="s">
        <v>101</v>
      </c>
      <c r="BF6" t="s">
        <v>353</v>
      </c>
      <c r="BG6" t="s">
        <v>105</v>
      </c>
      <c r="BH6" t="s">
        <v>106</v>
      </c>
      <c r="BI6" t="s">
        <v>101</v>
      </c>
      <c r="BJ6" t="s">
        <v>354</v>
      </c>
      <c r="BK6" t="s">
        <v>101</v>
      </c>
      <c r="BL6" t="s">
        <v>355</v>
      </c>
      <c r="BM6" t="s">
        <v>101</v>
      </c>
      <c r="BN6" t="s">
        <v>356</v>
      </c>
      <c r="BO6" t="s">
        <v>101</v>
      </c>
      <c r="BP6" t="s">
        <v>357</v>
      </c>
      <c r="BQ6" t="s">
        <v>105</v>
      </c>
      <c r="BR6" t="s">
        <v>106</v>
      </c>
      <c r="BS6" t="s">
        <v>101</v>
      </c>
      <c r="BT6" t="s">
        <v>358</v>
      </c>
      <c r="BU6" t="s">
        <v>216</v>
      </c>
      <c r="BV6" t="s">
        <v>359</v>
      </c>
      <c r="BW6" t="s">
        <v>111</v>
      </c>
      <c r="BX6" t="s">
        <v>123</v>
      </c>
      <c r="BY6" t="s">
        <v>111</v>
      </c>
      <c r="BZ6" t="s">
        <v>111</v>
      </c>
      <c r="CA6" t="s">
        <v>111</v>
      </c>
      <c r="CB6" t="s">
        <v>112</v>
      </c>
      <c r="CC6" t="s">
        <v>112</v>
      </c>
      <c r="CD6" t="s">
        <v>112</v>
      </c>
      <c r="CE6" t="s">
        <v>111</v>
      </c>
      <c r="CF6" t="s">
        <v>123</v>
      </c>
      <c r="CG6" t="s">
        <v>123</v>
      </c>
      <c r="CH6" t="s">
        <v>111</v>
      </c>
      <c r="CI6" t="s">
        <v>112</v>
      </c>
      <c r="CJ6" t="s">
        <v>112</v>
      </c>
      <c r="CK6" t="s">
        <v>111</v>
      </c>
      <c r="CL6" t="s">
        <v>124</v>
      </c>
      <c r="CM6" t="s">
        <v>116</v>
      </c>
      <c r="CN6" t="s">
        <v>115</v>
      </c>
      <c r="CO6">
        <v>29.986505916568301</v>
      </c>
      <c r="CP6">
        <v>12.69311189244196</v>
      </c>
      <c r="CQ6">
        <v>138.0783725490196</v>
      </c>
      <c r="CR6">
        <v>0.48005882352941132</v>
      </c>
      <c r="CS6">
        <v>5.6512574893668836E-3</v>
      </c>
      <c r="CT6">
        <v>1.410159837339133E-2</v>
      </c>
    </row>
    <row r="7" spans="1:98">
      <c r="A7">
        <v>6</v>
      </c>
      <c r="B7" t="s">
        <v>149</v>
      </c>
      <c r="C7" t="s">
        <v>95</v>
      </c>
      <c r="D7">
        <v>28</v>
      </c>
      <c r="E7" t="s">
        <v>189</v>
      </c>
      <c r="F7" t="s">
        <v>127</v>
      </c>
      <c r="G7" s="1">
        <v>0.63626157407407402</v>
      </c>
      <c r="H7" s="1">
        <v>0.64583333333333337</v>
      </c>
      <c r="I7" s="1">
        <v>0.6479166666666667</v>
      </c>
      <c r="J7">
        <v>92.388384921166647</v>
      </c>
      <c r="K7">
        <v>88.920155026007194</v>
      </c>
      <c r="L7">
        <v>89.808195488721822</v>
      </c>
      <c r="M7">
        <v>0.52951879699248072</v>
      </c>
      <c r="N7">
        <v>4.1355700990228133E-3</v>
      </c>
      <c r="O7">
        <v>7.8440294297251485E-3</v>
      </c>
      <c r="P7" s="1">
        <v>0.64792824074074074</v>
      </c>
      <c r="Q7" s="1">
        <v>0.64930555555555558</v>
      </c>
      <c r="R7">
        <v>7</v>
      </c>
      <c r="S7">
        <v>6</v>
      </c>
      <c r="T7">
        <v>92.64233555685523</v>
      </c>
      <c r="U7">
        <v>96.457979680127963</v>
      </c>
      <c r="V7">
        <v>59.121295454545447</v>
      </c>
      <c r="W7">
        <v>0.48513636363636348</v>
      </c>
      <c r="X7">
        <v>6.3648068151145598E-3</v>
      </c>
      <c r="Y7">
        <v>1.028017783865454E-2</v>
      </c>
      <c r="Z7" s="1">
        <v>0.64931712962962962</v>
      </c>
      <c r="AA7" s="1">
        <v>0.65069444444444446</v>
      </c>
      <c r="AB7">
        <v>91.290240063376245</v>
      </c>
      <c r="AC7">
        <v>98.667714220292737</v>
      </c>
      <c r="AD7">
        <v>58.876088888888887</v>
      </c>
      <c r="AE7">
        <v>0.55055555555555569</v>
      </c>
      <c r="AF7">
        <v>4.6600175041198143E-3</v>
      </c>
      <c r="AG7">
        <v>8.7585059389430897E-3</v>
      </c>
      <c r="AH7" s="11">
        <v>0.6507060185185185</v>
      </c>
      <c r="AI7" s="1">
        <v>0.65200231481481485</v>
      </c>
      <c r="AJ7">
        <v>7</v>
      </c>
      <c r="AK7">
        <v>6</v>
      </c>
      <c r="AL7">
        <v>60.928079288380268</v>
      </c>
      <c r="AM7">
        <v>48.559549531953849</v>
      </c>
      <c r="AN7">
        <v>55.338975609756098</v>
      </c>
      <c r="AO7">
        <v>0.52834146341463417</v>
      </c>
      <c r="AP7">
        <v>5.0631017968240759E-3</v>
      </c>
      <c r="AQ7">
        <v>8.7255141551067505E-3</v>
      </c>
      <c r="AR7" s="1">
        <v>0.65201388888888889</v>
      </c>
      <c r="AS7" s="1">
        <v>0.65327546296296302</v>
      </c>
      <c r="AT7">
        <v>87.844144292561396</v>
      </c>
      <c r="AV7">
        <v>54.399024999999988</v>
      </c>
      <c r="AW7">
        <v>0.50952499999999978</v>
      </c>
      <c r="AX7">
        <v>5.2463005017157893E-3</v>
      </c>
      <c r="AY7">
        <v>9.1657579327856613E-3</v>
      </c>
      <c r="AZ7" s="10">
        <v>0.65277777777777779</v>
      </c>
      <c r="BA7" s="10">
        <v>0.65416666666666667</v>
      </c>
      <c r="BB7" t="s">
        <v>133</v>
      </c>
      <c r="BC7" t="s">
        <v>129</v>
      </c>
      <c r="BD7" t="s">
        <v>133</v>
      </c>
      <c r="BE7" t="s">
        <v>129</v>
      </c>
      <c r="BF7" t="s">
        <v>129</v>
      </c>
      <c r="BG7" t="s">
        <v>133</v>
      </c>
      <c r="BH7" t="s">
        <v>129</v>
      </c>
      <c r="BI7" t="s">
        <v>133</v>
      </c>
      <c r="BJ7" t="s">
        <v>129</v>
      </c>
      <c r="BK7" t="s">
        <v>133</v>
      </c>
      <c r="BL7" t="s">
        <v>129</v>
      </c>
      <c r="BM7" t="s">
        <v>133</v>
      </c>
      <c r="BN7" t="s">
        <v>129</v>
      </c>
      <c r="BO7" t="s">
        <v>133</v>
      </c>
      <c r="BP7" t="s">
        <v>129</v>
      </c>
      <c r="BQ7" t="s">
        <v>133</v>
      </c>
      <c r="BR7" t="s">
        <v>129</v>
      </c>
      <c r="BS7" t="s">
        <v>133</v>
      </c>
      <c r="BT7" t="s">
        <v>129</v>
      </c>
      <c r="BU7" t="s">
        <v>360</v>
      </c>
      <c r="BV7" t="s">
        <v>133</v>
      </c>
      <c r="BW7" t="s">
        <v>111</v>
      </c>
      <c r="BX7" t="s">
        <v>112</v>
      </c>
      <c r="BY7" t="s">
        <v>123</v>
      </c>
      <c r="BZ7" t="s">
        <v>111</v>
      </c>
      <c r="CA7" t="s">
        <v>111</v>
      </c>
      <c r="CB7" t="s">
        <v>112</v>
      </c>
      <c r="CC7" t="s">
        <v>112</v>
      </c>
      <c r="CD7" t="s">
        <v>112</v>
      </c>
      <c r="CE7" t="s">
        <v>113</v>
      </c>
      <c r="CF7" t="s">
        <v>112</v>
      </c>
      <c r="CG7" t="s">
        <v>111</v>
      </c>
      <c r="CH7" t="s">
        <v>111</v>
      </c>
      <c r="CI7" t="s">
        <v>112</v>
      </c>
      <c r="CJ7" t="s">
        <v>123</v>
      </c>
      <c r="CK7" t="s">
        <v>113</v>
      </c>
      <c r="CL7" t="s">
        <v>115</v>
      </c>
      <c r="CM7" t="s">
        <v>116</v>
      </c>
      <c r="CN7" t="s">
        <v>117</v>
      </c>
      <c r="CO7">
        <v>158.53167743280201</v>
      </c>
      <c r="CP7">
        <v>274.40751147324858</v>
      </c>
      <c r="CQ7">
        <v>37.067214285714293</v>
      </c>
      <c r="CR7">
        <v>0.52146428571428538</v>
      </c>
      <c r="CS7">
        <v>4.8705578605707442E-3</v>
      </c>
      <c r="CT7">
        <v>8.9939768988964528E-3</v>
      </c>
    </row>
    <row r="8" spans="1:98">
      <c r="A8">
        <v>7</v>
      </c>
      <c r="B8" t="s">
        <v>137</v>
      </c>
      <c r="C8" t="s">
        <v>95</v>
      </c>
      <c r="D8">
        <v>27</v>
      </c>
      <c r="E8" t="s">
        <v>156</v>
      </c>
      <c r="F8" t="s">
        <v>157</v>
      </c>
      <c r="G8" s="1">
        <v>0.45996527777777779</v>
      </c>
      <c r="H8" s="1">
        <v>0.48194444444444451</v>
      </c>
      <c r="I8" s="1">
        <v>0.48333333333333328</v>
      </c>
      <c r="J8">
        <v>99.052153360253442</v>
      </c>
      <c r="K8">
        <v>120.9814778617432</v>
      </c>
      <c r="L8">
        <v>59.284564705882353</v>
      </c>
      <c r="M8">
        <v>0.46715294117647088</v>
      </c>
      <c r="N8">
        <v>1.239553122844694E-2</v>
      </c>
      <c r="O8">
        <v>2.7485863774627261E-2</v>
      </c>
      <c r="P8" s="1">
        <v>0.48395833333333332</v>
      </c>
      <c r="Q8" s="1">
        <v>0.48498842592592589</v>
      </c>
      <c r="R8">
        <v>7</v>
      </c>
      <c r="S8">
        <v>6</v>
      </c>
      <c r="T8">
        <v>431.99071500624439</v>
      </c>
      <c r="U8">
        <v>527.257414317128</v>
      </c>
      <c r="V8">
        <v>43.473373134328362</v>
      </c>
      <c r="W8">
        <v>0.48173134328358169</v>
      </c>
      <c r="X8">
        <v>1.2176045870699429E-2</v>
      </c>
      <c r="Y8">
        <v>3.2037796410043597E-2</v>
      </c>
      <c r="Z8" s="1">
        <v>0.48499999999999999</v>
      </c>
      <c r="AA8" s="1">
        <v>0.48637731481481478</v>
      </c>
      <c r="AB8">
        <v>71.663275017125756</v>
      </c>
      <c r="AC8">
        <v>64.331696419254143</v>
      </c>
      <c r="AD8">
        <v>58.908000000000008</v>
      </c>
      <c r="AE8">
        <v>0.54731818181818115</v>
      </c>
      <c r="AF8">
        <v>9.399722925655031E-3</v>
      </c>
      <c r="AG8">
        <v>2.293695776676126E-2</v>
      </c>
      <c r="AH8" s="11">
        <v>0.48638888888888893</v>
      </c>
      <c r="AI8" s="1">
        <v>0.48743055555555548</v>
      </c>
      <c r="AJ8">
        <v>7</v>
      </c>
      <c r="AK8">
        <v>6</v>
      </c>
      <c r="AL8">
        <v>607.42308155024841</v>
      </c>
      <c r="AM8">
        <v>626.86601439223034</v>
      </c>
      <c r="AN8">
        <v>44.545791044776117</v>
      </c>
      <c r="AO8">
        <v>0.54501492537313445</v>
      </c>
      <c r="AP8">
        <v>1.0443028717128889E-2</v>
      </c>
      <c r="AQ8">
        <v>2.924391543711824E-2</v>
      </c>
      <c r="AR8" s="1">
        <v>0.48749999999999999</v>
      </c>
      <c r="AS8" s="1">
        <v>0.48888888888888887</v>
      </c>
      <c r="AT8">
        <v>72.698337975781328</v>
      </c>
      <c r="AU8">
        <v>46.109359057579447</v>
      </c>
      <c r="AV8">
        <v>58.473218390804597</v>
      </c>
      <c r="AW8">
        <v>0.51085057471264372</v>
      </c>
      <c r="AX8">
        <v>7.8349503404805572E-3</v>
      </c>
      <c r="AY8">
        <v>2.0876693214365121E-2</v>
      </c>
      <c r="AZ8" s="10">
        <v>0.48888888888888887</v>
      </c>
      <c r="BA8" s="10">
        <v>0.49166666666666659</v>
      </c>
      <c r="BB8" t="s">
        <v>161</v>
      </c>
      <c r="BC8" t="s">
        <v>159</v>
      </c>
      <c r="BD8" t="s">
        <v>159</v>
      </c>
      <c r="BE8" t="s">
        <v>161</v>
      </c>
      <c r="BF8" t="s">
        <v>159</v>
      </c>
      <c r="BG8" t="s">
        <v>161</v>
      </c>
      <c r="BH8" t="s">
        <v>159</v>
      </c>
      <c r="BI8" t="s">
        <v>162</v>
      </c>
      <c r="BJ8" t="s">
        <v>361</v>
      </c>
      <c r="BK8" t="s">
        <v>162</v>
      </c>
      <c r="BL8" t="s">
        <v>362</v>
      </c>
      <c r="BM8" t="s">
        <v>161</v>
      </c>
      <c r="BN8" t="s">
        <v>159</v>
      </c>
      <c r="BO8" t="s">
        <v>162</v>
      </c>
      <c r="BP8" t="s">
        <v>363</v>
      </c>
      <c r="BQ8" t="s">
        <v>161</v>
      </c>
      <c r="BR8" t="s">
        <v>159</v>
      </c>
      <c r="BS8" t="s">
        <v>161</v>
      </c>
      <c r="BT8" t="s">
        <v>159</v>
      </c>
      <c r="BU8" t="s">
        <v>235</v>
      </c>
      <c r="BV8" t="s">
        <v>161</v>
      </c>
      <c r="BW8" t="s">
        <v>169</v>
      </c>
      <c r="BX8" t="s">
        <v>170</v>
      </c>
      <c r="BY8" t="s">
        <v>171</v>
      </c>
      <c r="BZ8" t="s">
        <v>171</v>
      </c>
      <c r="CA8" t="s">
        <v>171</v>
      </c>
      <c r="CB8" t="s">
        <v>171</v>
      </c>
      <c r="CC8" t="s">
        <v>170</v>
      </c>
      <c r="CD8" t="s">
        <v>171</v>
      </c>
      <c r="CE8" t="s">
        <v>171</v>
      </c>
      <c r="CF8" t="s">
        <v>170</v>
      </c>
      <c r="CH8" t="s">
        <v>171</v>
      </c>
      <c r="CI8" t="s">
        <v>170</v>
      </c>
      <c r="CJ8" t="s">
        <v>170</v>
      </c>
      <c r="CK8" t="s">
        <v>170</v>
      </c>
      <c r="CL8" t="s">
        <v>174</v>
      </c>
      <c r="CM8" t="s">
        <v>175</v>
      </c>
      <c r="CN8" t="s">
        <v>175</v>
      </c>
      <c r="CO8">
        <v>56.584519547641733</v>
      </c>
      <c r="CP8">
        <v>39.711321948648163</v>
      </c>
      <c r="CQ8">
        <v>121.0818128654971</v>
      </c>
      <c r="CR8">
        <v>0.56145029239766042</v>
      </c>
      <c r="CS8">
        <v>9.7711961160557564E-3</v>
      </c>
      <c r="CT8">
        <v>2.3078796269552421E-2</v>
      </c>
    </row>
    <row r="9" spans="1:98">
      <c r="A9">
        <v>8</v>
      </c>
      <c r="B9" t="s">
        <v>137</v>
      </c>
      <c r="C9" t="s">
        <v>125</v>
      </c>
      <c r="D9">
        <v>24</v>
      </c>
      <c r="E9" t="s">
        <v>138</v>
      </c>
      <c r="F9" t="s">
        <v>157</v>
      </c>
      <c r="G9" s="1">
        <v>0.58518518518518514</v>
      </c>
      <c r="H9" s="1">
        <v>0.59791666666666665</v>
      </c>
      <c r="I9" s="1">
        <v>0.59930555555555554</v>
      </c>
      <c r="J9">
        <v>60.024711892151728</v>
      </c>
      <c r="K9">
        <v>56.994096571707523</v>
      </c>
      <c r="L9">
        <v>57.830499999999986</v>
      </c>
      <c r="M9">
        <v>0.53404545454545482</v>
      </c>
      <c r="N9">
        <v>1.100946221847586E-2</v>
      </c>
      <c r="O9">
        <v>2.0429377394580589E-2</v>
      </c>
      <c r="P9" s="1">
        <v>0.59931712962962957</v>
      </c>
      <c r="Q9" s="1">
        <v>0.60052083333333328</v>
      </c>
      <c r="R9">
        <v>6</v>
      </c>
      <c r="S9">
        <v>6</v>
      </c>
      <c r="T9">
        <v>46.133338311342072</v>
      </c>
      <c r="U9">
        <v>51.555240831004539</v>
      </c>
      <c r="V9">
        <v>51.337947368421062</v>
      </c>
      <c r="W9">
        <v>0.53176315789473672</v>
      </c>
      <c r="X9">
        <v>1.144144911090688E-2</v>
      </c>
      <c r="Y9">
        <v>2.1907662655376432E-2</v>
      </c>
      <c r="Z9" s="1">
        <v>0.60069444444444442</v>
      </c>
      <c r="AA9" s="1">
        <v>0.6020833333333333</v>
      </c>
      <c r="AB9">
        <v>61.786022840299843</v>
      </c>
      <c r="AC9">
        <v>55.69719216612053</v>
      </c>
      <c r="AD9">
        <v>58.426954545454549</v>
      </c>
      <c r="AE9">
        <v>0.52861363636363712</v>
      </c>
      <c r="AF9">
        <v>1.382500828274286E-2</v>
      </c>
      <c r="AG9">
        <v>2.4426966134820191E-2</v>
      </c>
      <c r="AH9" s="11">
        <v>0.60209490740740745</v>
      </c>
      <c r="AI9" s="1">
        <v>0.60322916666666671</v>
      </c>
      <c r="AJ9">
        <v>6</v>
      </c>
      <c r="AK9">
        <v>6</v>
      </c>
      <c r="AL9">
        <v>43.848125158375808</v>
      </c>
      <c r="AM9">
        <v>47.499000397478717</v>
      </c>
      <c r="AN9">
        <v>47.13880555555555</v>
      </c>
      <c r="AO9">
        <v>0.49494444444444458</v>
      </c>
      <c r="AP9">
        <v>1.1527181996271601E-2</v>
      </c>
      <c r="AQ9">
        <v>2.283471654994949E-2</v>
      </c>
      <c r="AR9" s="1">
        <v>0.60347222222222219</v>
      </c>
      <c r="AS9" s="1">
        <v>0.60486111111111107</v>
      </c>
      <c r="AT9">
        <v>82.024689487583913</v>
      </c>
      <c r="AU9">
        <v>67.561851466525141</v>
      </c>
      <c r="AV9">
        <v>59.505377777777781</v>
      </c>
      <c r="AW9">
        <v>0.52926666666666611</v>
      </c>
      <c r="AX9">
        <v>1.1606411824834391E-2</v>
      </c>
      <c r="AY9">
        <v>2.2163465686157211E-2</v>
      </c>
      <c r="AZ9" s="10">
        <v>0.60486111111111107</v>
      </c>
      <c r="BA9" s="10">
        <v>0.6069444444444444</v>
      </c>
      <c r="BB9" t="s">
        <v>128</v>
      </c>
      <c r="BC9" t="s">
        <v>364</v>
      </c>
      <c r="BD9" t="s">
        <v>365</v>
      </c>
      <c r="BE9" t="s">
        <v>178</v>
      </c>
      <c r="BF9" t="s">
        <v>159</v>
      </c>
      <c r="BG9" t="s">
        <v>178</v>
      </c>
      <c r="BH9" t="s">
        <v>159</v>
      </c>
      <c r="BI9" t="s">
        <v>178</v>
      </c>
      <c r="BJ9" t="s">
        <v>159</v>
      </c>
      <c r="BK9" t="s">
        <v>178</v>
      </c>
      <c r="BL9" t="s">
        <v>159</v>
      </c>
      <c r="BM9" t="s">
        <v>178</v>
      </c>
      <c r="BN9" t="s">
        <v>159</v>
      </c>
      <c r="BO9" t="s">
        <v>179</v>
      </c>
      <c r="BP9" t="s">
        <v>366</v>
      </c>
      <c r="BQ9" t="s">
        <v>179</v>
      </c>
      <c r="BR9" t="s">
        <v>367</v>
      </c>
      <c r="BS9" t="s">
        <v>179</v>
      </c>
      <c r="BT9" t="s">
        <v>368</v>
      </c>
      <c r="BU9" t="s">
        <v>244</v>
      </c>
      <c r="BV9" t="s">
        <v>369</v>
      </c>
      <c r="BW9" t="s">
        <v>169</v>
      </c>
      <c r="BX9" t="s">
        <v>170</v>
      </c>
      <c r="BY9" t="s">
        <v>169</v>
      </c>
      <c r="BZ9" t="s">
        <v>171</v>
      </c>
      <c r="CA9" t="s">
        <v>169</v>
      </c>
      <c r="CB9" t="s">
        <v>170</v>
      </c>
      <c r="CC9" t="s">
        <v>170</v>
      </c>
      <c r="CD9" t="s">
        <v>171</v>
      </c>
      <c r="CE9" t="s">
        <v>170</v>
      </c>
      <c r="CF9" t="s">
        <v>169</v>
      </c>
      <c r="CH9" t="s">
        <v>169</v>
      </c>
      <c r="CI9" t="s">
        <v>171</v>
      </c>
      <c r="CJ9" t="s">
        <v>170</v>
      </c>
      <c r="CK9" t="s">
        <v>169</v>
      </c>
      <c r="CL9" t="s">
        <v>208</v>
      </c>
      <c r="CM9" t="s">
        <v>175</v>
      </c>
      <c r="CN9" t="s">
        <v>207</v>
      </c>
      <c r="CO9">
        <v>35.514036551617842</v>
      </c>
      <c r="CP9">
        <v>41.015967908009777</v>
      </c>
      <c r="CQ9">
        <v>88.460000000000022</v>
      </c>
      <c r="CR9">
        <v>0.53249612403100621</v>
      </c>
      <c r="CS9">
        <v>1.0875770401916869E-2</v>
      </c>
      <c r="CT9">
        <v>2.0162680619062422E-2</v>
      </c>
    </row>
    <row r="10" spans="1:98">
      <c r="A10">
        <v>9</v>
      </c>
      <c r="B10" t="s">
        <v>188</v>
      </c>
      <c r="C10" t="s">
        <v>95</v>
      </c>
      <c r="D10">
        <v>32</v>
      </c>
      <c r="E10" t="s">
        <v>189</v>
      </c>
      <c r="F10" t="s">
        <v>190</v>
      </c>
      <c r="G10" s="1">
        <v>0.38465277777777779</v>
      </c>
      <c r="H10" s="1">
        <v>0.40138888888888891</v>
      </c>
      <c r="I10" s="1">
        <v>0.40277777777777779</v>
      </c>
      <c r="J10">
        <v>103.2278347732077</v>
      </c>
      <c r="K10">
        <v>109.5071382757001</v>
      </c>
      <c r="L10">
        <v>59.609348314606741</v>
      </c>
      <c r="M10">
        <v>0.5218651685393263</v>
      </c>
      <c r="N10">
        <v>9.8882715906544287E-3</v>
      </c>
      <c r="O10">
        <v>1.809893336153073E-2</v>
      </c>
      <c r="P10" s="11">
        <v>0.40297453703703712</v>
      </c>
      <c r="Q10" s="1">
        <v>0.40423611111111107</v>
      </c>
      <c r="R10">
        <v>8</v>
      </c>
      <c r="S10">
        <v>8</v>
      </c>
      <c r="T10">
        <v>97.856015642196724</v>
      </c>
      <c r="U10">
        <v>123.17687630859621</v>
      </c>
      <c r="V10">
        <v>54.681215189873413</v>
      </c>
      <c r="W10">
        <v>0.48313924050632923</v>
      </c>
      <c r="X10">
        <v>1.053344881032588E-2</v>
      </c>
      <c r="Y10">
        <v>1.944803348763309E-2</v>
      </c>
      <c r="Z10" s="1">
        <v>0.40424768518518522</v>
      </c>
      <c r="AA10" s="1">
        <v>0.40562500000000001</v>
      </c>
      <c r="AB10">
        <v>60.55079282029444</v>
      </c>
      <c r="AC10">
        <v>59.023450779630188</v>
      </c>
      <c r="AD10">
        <v>58.836000000000013</v>
      </c>
      <c r="AE10">
        <v>0.52528089887640417</v>
      </c>
      <c r="AF10">
        <v>1.102860194518062E-2</v>
      </c>
      <c r="AG10">
        <v>2.0850107115771611E-2</v>
      </c>
      <c r="AH10" s="11">
        <v>0.40570601851851851</v>
      </c>
      <c r="AI10" s="1">
        <v>0.40689814814814818</v>
      </c>
      <c r="AJ10">
        <v>8</v>
      </c>
      <c r="AK10">
        <v>8</v>
      </c>
      <c r="AL10">
        <v>119.2634628734282</v>
      </c>
      <c r="AM10">
        <v>164.56328456513481</v>
      </c>
      <c r="AN10">
        <v>50.142552631578937</v>
      </c>
      <c r="AO10">
        <v>0.52336842105263282</v>
      </c>
      <c r="AP10">
        <v>9.898518694706742E-3</v>
      </c>
      <c r="AQ10">
        <v>1.9068949702933161E-2</v>
      </c>
      <c r="AR10" s="1">
        <v>0.40694444444444439</v>
      </c>
      <c r="AS10" s="1">
        <v>0.40833333333333333</v>
      </c>
      <c r="AT10">
        <v>124.0785686368466</v>
      </c>
      <c r="AU10">
        <v>153.188173016723</v>
      </c>
      <c r="AV10">
        <v>59.81952808988764</v>
      </c>
      <c r="AW10">
        <v>0.49451685393258438</v>
      </c>
      <c r="AX10">
        <v>1.0895972448998431E-2</v>
      </c>
      <c r="AY10">
        <v>2.0191185625254179E-2</v>
      </c>
      <c r="AZ10" s="10">
        <v>0.40833333333333333</v>
      </c>
      <c r="BA10" s="10">
        <v>0.41111111111111109</v>
      </c>
      <c r="BB10" t="s">
        <v>178</v>
      </c>
      <c r="BC10" t="s">
        <v>159</v>
      </c>
      <c r="BD10" t="s">
        <v>178</v>
      </c>
      <c r="BE10" t="s">
        <v>178</v>
      </c>
      <c r="BF10" t="s">
        <v>159</v>
      </c>
      <c r="BG10" t="s">
        <v>370</v>
      </c>
      <c r="BH10" t="s">
        <v>159</v>
      </c>
      <c r="BI10" t="s">
        <v>178</v>
      </c>
      <c r="BJ10" t="s">
        <v>159</v>
      </c>
      <c r="BK10" t="s">
        <v>179</v>
      </c>
      <c r="BL10" t="s">
        <v>371</v>
      </c>
      <c r="BM10" t="s">
        <v>178</v>
      </c>
      <c r="BN10" t="s">
        <v>159</v>
      </c>
      <c r="BO10" t="s">
        <v>179</v>
      </c>
      <c r="BP10" t="s">
        <v>372</v>
      </c>
      <c r="BQ10" t="s">
        <v>178</v>
      </c>
      <c r="BR10" t="s">
        <v>159</v>
      </c>
      <c r="BS10" t="s">
        <v>179</v>
      </c>
      <c r="BT10" t="s">
        <v>373</v>
      </c>
      <c r="BU10" t="s">
        <v>192</v>
      </c>
      <c r="BV10" t="s">
        <v>193</v>
      </c>
      <c r="BW10" t="s">
        <v>173</v>
      </c>
      <c r="BX10" t="s">
        <v>172</v>
      </c>
      <c r="BY10" t="s">
        <v>170</v>
      </c>
      <c r="BZ10" t="s">
        <v>169</v>
      </c>
      <c r="CA10" t="s">
        <v>173</v>
      </c>
      <c r="CB10" t="s">
        <v>172</v>
      </c>
      <c r="CC10" t="s">
        <v>170</v>
      </c>
      <c r="CD10" t="s">
        <v>171</v>
      </c>
      <c r="CE10" t="s">
        <v>173</v>
      </c>
      <c r="CF10" t="s">
        <v>172</v>
      </c>
      <c r="CH10" t="s">
        <v>173</v>
      </c>
      <c r="CI10" t="s">
        <v>172</v>
      </c>
      <c r="CJ10" t="s">
        <v>172</v>
      </c>
      <c r="CK10" t="s">
        <v>173</v>
      </c>
      <c r="CL10" t="s">
        <v>174</v>
      </c>
      <c r="CM10" t="s">
        <v>175</v>
      </c>
      <c r="CN10" t="s">
        <v>175</v>
      </c>
      <c r="CO10">
        <v>76.611265281964478</v>
      </c>
      <c r="CP10">
        <v>80.046810409143887</v>
      </c>
      <c r="CQ10">
        <v>119.4583756906078</v>
      </c>
      <c r="CR10">
        <v>0.52682872928176727</v>
      </c>
      <c r="CS10">
        <v>1.193756076494161E-2</v>
      </c>
      <c r="CT10">
        <v>2.135597616677868E-2</v>
      </c>
    </row>
    <row r="11" spans="1:98">
      <c r="A11">
        <v>10</v>
      </c>
      <c r="B11" t="s">
        <v>137</v>
      </c>
      <c r="C11" t="s">
        <v>95</v>
      </c>
      <c r="D11">
        <v>31</v>
      </c>
      <c r="E11" t="s">
        <v>334</v>
      </c>
      <c r="F11" t="s">
        <v>190</v>
      </c>
      <c r="G11" s="1">
        <v>0.44142361111111111</v>
      </c>
      <c r="H11" s="1">
        <v>0.45555555555555549</v>
      </c>
      <c r="I11" s="1">
        <v>0.45694444444444438</v>
      </c>
      <c r="J11">
        <v>88.930776958866801</v>
      </c>
      <c r="K11">
        <v>100.684590015884</v>
      </c>
      <c r="L11">
        <v>57.952298850574707</v>
      </c>
      <c r="M11">
        <v>0.52744827586206955</v>
      </c>
      <c r="N11">
        <v>6.1750053014027334E-3</v>
      </c>
      <c r="O11">
        <v>1.5458207868158909E-2</v>
      </c>
      <c r="P11" s="1">
        <v>0.45695601851851853</v>
      </c>
      <c r="Q11" s="1">
        <v>0.45833333333333331</v>
      </c>
      <c r="R11">
        <v>7</v>
      </c>
      <c r="S11">
        <v>7</v>
      </c>
      <c r="T11">
        <v>88.221115705243406</v>
      </c>
      <c r="U11">
        <v>116.38604094269949</v>
      </c>
      <c r="V11">
        <v>59.451132530120468</v>
      </c>
      <c r="W11">
        <v>0.5210120481927708</v>
      </c>
      <c r="X11">
        <v>5.9030899319982722E-3</v>
      </c>
      <c r="Y11">
        <v>1.549191151587466E-2</v>
      </c>
      <c r="Z11" s="1">
        <v>0.45834490740740741</v>
      </c>
      <c r="AA11" s="1">
        <v>0.4597222222222222</v>
      </c>
      <c r="AB11">
        <v>113.45976223780271</v>
      </c>
      <c r="AC11">
        <v>143.29450718528369</v>
      </c>
      <c r="AD11">
        <v>58.422431818181821</v>
      </c>
      <c r="AE11">
        <v>0.45981818181818213</v>
      </c>
      <c r="AF11">
        <v>6.1134167401941716E-3</v>
      </c>
      <c r="AG11">
        <v>1.4063070869388929E-2</v>
      </c>
      <c r="AH11" s="11">
        <v>0.45976851851851852</v>
      </c>
      <c r="AI11" s="1">
        <v>0.46114583333333331</v>
      </c>
      <c r="AJ11">
        <v>6</v>
      </c>
      <c r="AK11">
        <v>6</v>
      </c>
      <c r="AL11">
        <v>47.707183101286518</v>
      </c>
      <c r="AM11">
        <v>39.601958935325499</v>
      </c>
      <c r="AN11">
        <v>60.322136363636361</v>
      </c>
      <c r="AO11">
        <v>0.53463636363636369</v>
      </c>
      <c r="AP11">
        <v>6.7768041617073333E-3</v>
      </c>
      <c r="AQ11">
        <v>1.5930406527416629E-2</v>
      </c>
      <c r="AR11" s="1">
        <v>0.4611574074074074</v>
      </c>
      <c r="AS11" s="1">
        <v>0.46250000000000002</v>
      </c>
      <c r="AT11">
        <v>105.7143413576421</v>
      </c>
      <c r="AU11">
        <v>131.16903383131771</v>
      </c>
      <c r="AV11">
        <v>57.255898734177222</v>
      </c>
      <c r="AW11">
        <v>0.52764556962025333</v>
      </c>
      <c r="AX11">
        <v>1.2952765483594111E-2</v>
      </c>
      <c r="AY11">
        <v>3.3181801910475373E-2</v>
      </c>
      <c r="AZ11" s="10">
        <v>0.46250000000000002</v>
      </c>
      <c r="BA11" s="10">
        <v>0.46458333333333329</v>
      </c>
      <c r="BB11" t="s">
        <v>288</v>
      </c>
      <c r="BC11" t="s">
        <v>374</v>
      </c>
      <c r="BD11" t="s">
        <v>375</v>
      </c>
      <c r="BE11" t="s">
        <v>179</v>
      </c>
      <c r="BF11" t="s">
        <v>376</v>
      </c>
      <c r="BG11" t="s">
        <v>178</v>
      </c>
      <c r="BH11" t="s">
        <v>159</v>
      </c>
      <c r="BI11" t="s">
        <v>179</v>
      </c>
      <c r="BJ11" t="s">
        <v>377</v>
      </c>
      <c r="BK11" t="s">
        <v>179</v>
      </c>
      <c r="BL11" t="s">
        <v>378</v>
      </c>
      <c r="BM11" t="s">
        <v>179</v>
      </c>
      <c r="BN11" t="s">
        <v>379</v>
      </c>
      <c r="BO11" t="s">
        <v>179</v>
      </c>
      <c r="BP11" t="s">
        <v>380</v>
      </c>
      <c r="BQ11" t="s">
        <v>179</v>
      </c>
      <c r="BR11" t="s">
        <v>381</v>
      </c>
      <c r="BS11" t="s">
        <v>179</v>
      </c>
      <c r="BT11" t="s">
        <v>382</v>
      </c>
      <c r="BU11" t="s">
        <v>383</v>
      </c>
      <c r="BV11" t="s">
        <v>384</v>
      </c>
      <c r="BW11" t="s">
        <v>169</v>
      </c>
      <c r="BX11" t="s">
        <v>171</v>
      </c>
      <c r="BY11" t="s">
        <v>169</v>
      </c>
      <c r="BZ11" t="s">
        <v>170</v>
      </c>
      <c r="CA11" t="s">
        <v>170</v>
      </c>
      <c r="CB11" t="s">
        <v>171</v>
      </c>
      <c r="CC11" t="s">
        <v>169</v>
      </c>
      <c r="CD11" t="s">
        <v>169</v>
      </c>
      <c r="CE11" t="s">
        <v>170</v>
      </c>
      <c r="CF11" t="s">
        <v>171</v>
      </c>
      <c r="CH11" t="s">
        <v>170</v>
      </c>
      <c r="CI11" t="s">
        <v>171</v>
      </c>
      <c r="CJ11" t="s">
        <v>171</v>
      </c>
      <c r="CK11" t="s">
        <v>170</v>
      </c>
      <c r="CL11" t="s">
        <v>207</v>
      </c>
      <c r="CM11" t="s">
        <v>194</v>
      </c>
      <c r="CN11" t="s">
        <v>208</v>
      </c>
      <c r="CO11">
        <v>87.2621782557583</v>
      </c>
      <c r="CP11">
        <v>101.19858120758509</v>
      </c>
      <c r="CQ11">
        <v>89.498984848484852</v>
      </c>
      <c r="CR11">
        <v>0.523378787878787</v>
      </c>
      <c r="CS11">
        <v>1.0449776903491441E-2</v>
      </c>
      <c r="CT11">
        <v>1.9392527386685249E-2</v>
      </c>
    </row>
    <row r="12" spans="1:98">
      <c r="A12">
        <v>11</v>
      </c>
      <c r="B12" t="s">
        <v>209</v>
      </c>
      <c r="C12" t="s">
        <v>95</v>
      </c>
      <c r="D12">
        <v>29</v>
      </c>
      <c r="E12" t="s">
        <v>138</v>
      </c>
      <c r="F12" t="s">
        <v>190</v>
      </c>
      <c r="G12" s="1">
        <v>0.54937499999999995</v>
      </c>
      <c r="H12" s="1">
        <v>0.56597222222222221</v>
      </c>
      <c r="I12" s="1">
        <v>0.56736111111111109</v>
      </c>
      <c r="J12">
        <v>55.385650158123333</v>
      </c>
      <c r="K12">
        <v>51.624600872109582</v>
      </c>
      <c r="L12">
        <v>58.594588235294097</v>
      </c>
      <c r="M12">
        <v>0.48762352941176479</v>
      </c>
      <c r="N12">
        <v>1.1168920495111451E-2</v>
      </c>
      <c r="O12">
        <v>2.835823384230305E-2</v>
      </c>
      <c r="P12" s="1">
        <v>0.56784722222222217</v>
      </c>
      <c r="Q12" s="1">
        <v>0.56877314814814817</v>
      </c>
      <c r="R12">
        <v>6</v>
      </c>
      <c r="S12">
        <v>5</v>
      </c>
      <c r="T12">
        <v>47.123286012816273</v>
      </c>
      <c r="U12">
        <v>29.491223838026951</v>
      </c>
      <c r="V12">
        <v>39.561704918032788</v>
      </c>
      <c r="W12">
        <v>0.49091803278688517</v>
      </c>
      <c r="X12">
        <v>9.5332748646943383E-3</v>
      </c>
      <c r="Y12">
        <v>3.1502459301679372E-2</v>
      </c>
      <c r="Z12" s="1">
        <v>0.56878472222222221</v>
      </c>
      <c r="AA12" s="1">
        <v>0.57016203703703705</v>
      </c>
      <c r="AB12">
        <v>97.215536628635107</v>
      </c>
      <c r="AC12">
        <v>96.376191927106404</v>
      </c>
      <c r="AD12">
        <v>60.04320454545455</v>
      </c>
      <c r="AE12">
        <v>0.48427272727272658</v>
      </c>
      <c r="AF12">
        <v>8.787504206445574E-3</v>
      </c>
      <c r="AG12">
        <v>2.6411604034530939E-2</v>
      </c>
      <c r="AH12" s="11">
        <v>0.57021990740740736</v>
      </c>
      <c r="AI12" s="1">
        <v>0.57155092592592593</v>
      </c>
      <c r="AJ12">
        <v>5</v>
      </c>
      <c r="AK12">
        <v>4</v>
      </c>
      <c r="AL12">
        <v>53.57108620100967</v>
      </c>
      <c r="AM12">
        <v>29.664415181996631</v>
      </c>
      <c r="AN12">
        <v>56.964568181818187</v>
      </c>
      <c r="AO12">
        <v>0.52518181818181875</v>
      </c>
      <c r="AP12">
        <v>1.0059294826141671E-2</v>
      </c>
      <c r="AQ12">
        <v>2.8499164792510169E-2</v>
      </c>
      <c r="AR12" s="1">
        <v>0.57156249999999997</v>
      </c>
      <c r="AS12" s="1">
        <v>0.57293981481481482</v>
      </c>
      <c r="AT12">
        <v>84.553841854321689</v>
      </c>
      <c r="AU12">
        <v>98.341889715051138</v>
      </c>
      <c r="AV12">
        <v>60.424227272727258</v>
      </c>
      <c r="AW12">
        <v>0.53593181818181823</v>
      </c>
      <c r="AX12">
        <v>1.016789228910483E-2</v>
      </c>
      <c r="AY12">
        <v>2.8355278117672179E-2</v>
      </c>
      <c r="AZ12" s="10">
        <v>0.57291666666666663</v>
      </c>
      <c r="BA12" s="10">
        <v>0.57430555555555551</v>
      </c>
      <c r="BB12" t="s">
        <v>128</v>
      </c>
      <c r="BC12" t="s">
        <v>196</v>
      </c>
      <c r="BD12" t="s">
        <v>385</v>
      </c>
      <c r="BE12" t="s">
        <v>133</v>
      </c>
      <c r="BF12" t="s">
        <v>129</v>
      </c>
      <c r="BG12" t="s">
        <v>133</v>
      </c>
      <c r="BH12" t="s">
        <v>129</v>
      </c>
      <c r="BI12" t="s">
        <v>131</v>
      </c>
      <c r="BJ12" t="s">
        <v>386</v>
      </c>
      <c r="BK12" t="s">
        <v>133</v>
      </c>
      <c r="BL12" t="s">
        <v>129</v>
      </c>
      <c r="BM12" t="s">
        <v>133</v>
      </c>
      <c r="BN12" t="s">
        <v>129</v>
      </c>
      <c r="BO12" t="s">
        <v>131</v>
      </c>
      <c r="BP12" t="s">
        <v>387</v>
      </c>
      <c r="BQ12" t="s">
        <v>133</v>
      </c>
      <c r="BR12" t="s">
        <v>129</v>
      </c>
      <c r="BS12" t="s">
        <v>131</v>
      </c>
      <c r="BT12" t="s">
        <v>388</v>
      </c>
      <c r="BU12" t="s">
        <v>389</v>
      </c>
      <c r="BV12" t="s">
        <v>390</v>
      </c>
      <c r="BW12" t="s">
        <v>114</v>
      </c>
      <c r="BX12" t="s">
        <v>111</v>
      </c>
      <c r="BY12" t="s">
        <v>114</v>
      </c>
      <c r="BZ12" t="s">
        <v>113</v>
      </c>
      <c r="CA12" t="s">
        <v>114</v>
      </c>
      <c r="CB12" t="s">
        <v>113</v>
      </c>
      <c r="CC12" t="s">
        <v>123</v>
      </c>
      <c r="CD12" t="s">
        <v>112</v>
      </c>
      <c r="CE12" t="s">
        <v>111</v>
      </c>
      <c r="CF12" t="s">
        <v>113</v>
      </c>
      <c r="CG12" t="s">
        <v>114</v>
      </c>
      <c r="CH12" t="s">
        <v>112</v>
      </c>
      <c r="CI12" t="s">
        <v>123</v>
      </c>
      <c r="CJ12" t="s">
        <v>111</v>
      </c>
      <c r="CK12" t="s">
        <v>114</v>
      </c>
      <c r="CL12" t="s">
        <v>117</v>
      </c>
      <c r="CM12" t="s">
        <v>116</v>
      </c>
      <c r="CN12" t="s">
        <v>116</v>
      </c>
      <c r="CO12">
        <v>78.697213318573574</v>
      </c>
      <c r="CP12">
        <v>93.63366810972073</v>
      </c>
      <c r="CQ12">
        <v>56.865733333333338</v>
      </c>
      <c r="CR12">
        <v>0.50931111111111105</v>
      </c>
      <c r="CS12">
        <v>1.104421427884906E-2</v>
      </c>
      <c r="CT12">
        <v>2.9055298365315129E-2</v>
      </c>
    </row>
    <row r="13" spans="1:98">
      <c r="A13">
        <v>12</v>
      </c>
      <c r="B13" t="s">
        <v>99</v>
      </c>
      <c r="C13" t="s">
        <v>95</v>
      </c>
      <c r="D13">
        <v>21</v>
      </c>
      <c r="E13" t="s">
        <v>156</v>
      </c>
      <c r="F13" t="s">
        <v>190</v>
      </c>
      <c r="G13" s="1">
        <v>0.61192129629629632</v>
      </c>
      <c r="H13" s="1">
        <v>0.625</v>
      </c>
      <c r="I13" s="1">
        <v>0.62638888888888888</v>
      </c>
      <c r="J13">
        <v>146.3593052688671</v>
      </c>
      <c r="K13">
        <v>203.30755699904401</v>
      </c>
      <c r="L13">
        <v>60.531402298850573</v>
      </c>
      <c r="M13">
        <v>0.51970114942528722</v>
      </c>
      <c r="N13">
        <v>1.578322816103352E-2</v>
      </c>
      <c r="O13">
        <v>5.2293459788638912E-2</v>
      </c>
      <c r="P13" s="1">
        <v>0.62690972222222219</v>
      </c>
      <c r="Q13" s="1">
        <v>0.62800925925925921</v>
      </c>
      <c r="R13">
        <v>7</v>
      </c>
      <c r="S13">
        <v>7</v>
      </c>
      <c r="T13">
        <v>80.097684613599824</v>
      </c>
      <c r="U13">
        <v>105.0945341638228</v>
      </c>
      <c r="V13">
        <v>47.097999999999999</v>
      </c>
      <c r="W13">
        <v>0.51005797101449268</v>
      </c>
      <c r="X13">
        <v>1.9626270834781832E-2</v>
      </c>
      <c r="Y13">
        <v>6.3295270214620877E-2</v>
      </c>
      <c r="Z13" s="1">
        <v>0.62802083333333336</v>
      </c>
      <c r="AA13" s="1">
        <v>0.6293981481481481</v>
      </c>
      <c r="AB13">
        <v>71.162070612599692</v>
      </c>
      <c r="AC13">
        <v>73.485700297052432</v>
      </c>
      <c r="AD13">
        <v>57.929666666666677</v>
      </c>
      <c r="AE13">
        <v>0.51173809523809499</v>
      </c>
      <c r="AF13">
        <v>1.600621752444541E-2</v>
      </c>
      <c r="AG13">
        <v>5.1879659987879391E-2</v>
      </c>
      <c r="AH13" s="11">
        <v>0.63</v>
      </c>
      <c r="AI13" s="1">
        <v>0.63115740740740744</v>
      </c>
      <c r="AJ13">
        <v>7</v>
      </c>
      <c r="AK13">
        <v>7</v>
      </c>
      <c r="AL13">
        <v>70.145730683756938</v>
      </c>
      <c r="AM13">
        <v>89.909236934120912</v>
      </c>
      <c r="AN13">
        <v>50.279914285714277</v>
      </c>
      <c r="AO13">
        <v>0.41865714285714301</v>
      </c>
      <c r="AP13">
        <v>1.93599159190034E-2</v>
      </c>
      <c r="AQ13">
        <v>6.2312493801193011E-2</v>
      </c>
      <c r="AR13" s="1">
        <v>0.63124999999999998</v>
      </c>
      <c r="AS13" s="1">
        <v>0.63263888888888886</v>
      </c>
      <c r="AT13">
        <v>73.512064748014879</v>
      </c>
      <c r="AU13">
        <v>46.73844164829211</v>
      </c>
      <c r="AV13">
        <v>60.356000000000002</v>
      </c>
      <c r="AW13">
        <v>0.50076744186046551</v>
      </c>
      <c r="AX13">
        <v>1.5340486012226181E-2</v>
      </c>
      <c r="AY13">
        <v>4.9222397302636819E-2</v>
      </c>
      <c r="AZ13" s="10">
        <v>0.63263888888888886</v>
      </c>
      <c r="BA13" s="10">
        <v>0.63472222222222219</v>
      </c>
      <c r="BB13" t="s">
        <v>105</v>
      </c>
      <c r="BC13" t="s">
        <v>106</v>
      </c>
      <c r="BD13" t="s">
        <v>105</v>
      </c>
      <c r="BE13" t="s">
        <v>105</v>
      </c>
      <c r="BF13" t="s">
        <v>106</v>
      </c>
      <c r="BG13" t="s">
        <v>105</v>
      </c>
      <c r="BH13" t="s">
        <v>106</v>
      </c>
      <c r="BI13" t="s">
        <v>101</v>
      </c>
      <c r="BJ13" t="s">
        <v>338</v>
      </c>
      <c r="BK13" t="s">
        <v>105</v>
      </c>
      <c r="BL13" t="s">
        <v>106</v>
      </c>
      <c r="BM13" t="s">
        <v>105</v>
      </c>
      <c r="BN13" t="s">
        <v>106</v>
      </c>
      <c r="BO13" t="s">
        <v>101</v>
      </c>
      <c r="BP13" t="s">
        <v>391</v>
      </c>
      <c r="BQ13" t="s">
        <v>105</v>
      </c>
      <c r="BR13" t="s">
        <v>106</v>
      </c>
      <c r="BS13" t="s">
        <v>101</v>
      </c>
      <c r="BT13" t="s">
        <v>392</v>
      </c>
      <c r="BU13" t="s">
        <v>279</v>
      </c>
      <c r="BV13" t="s">
        <v>392</v>
      </c>
      <c r="BW13" t="s">
        <v>112</v>
      </c>
      <c r="BX13" t="s">
        <v>111</v>
      </c>
      <c r="BY13" t="s">
        <v>123</v>
      </c>
      <c r="BZ13" t="s">
        <v>123</v>
      </c>
      <c r="CA13" t="s">
        <v>114</v>
      </c>
      <c r="CB13" t="s">
        <v>111</v>
      </c>
      <c r="CC13" t="s">
        <v>123</v>
      </c>
      <c r="CD13" t="s">
        <v>111</v>
      </c>
      <c r="CE13" t="s">
        <v>112</v>
      </c>
      <c r="CF13" t="s">
        <v>111</v>
      </c>
      <c r="CG13" t="s">
        <v>112</v>
      </c>
      <c r="CH13" t="s">
        <v>112</v>
      </c>
      <c r="CI13" t="s">
        <v>111</v>
      </c>
      <c r="CJ13" t="s">
        <v>111</v>
      </c>
      <c r="CK13" t="s">
        <v>112</v>
      </c>
      <c r="CL13" t="s">
        <v>124</v>
      </c>
      <c r="CM13" t="s">
        <v>116</v>
      </c>
      <c r="CN13" t="s">
        <v>124</v>
      </c>
      <c r="CO13">
        <v>54.305611861436311</v>
      </c>
      <c r="CP13">
        <v>76.611610366675777</v>
      </c>
      <c r="CQ13">
        <v>90.409307086614177</v>
      </c>
      <c r="CR13">
        <v>0.53388976377952846</v>
      </c>
      <c r="CS13">
        <v>1.5597276113427519E-2</v>
      </c>
      <c r="CT13">
        <v>4.1756037606972801E-2</v>
      </c>
    </row>
    <row r="14" spans="1:98">
      <c r="A14">
        <v>13</v>
      </c>
      <c r="B14" t="s">
        <v>99</v>
      </c>
      <c r="C14" t="s">
        <v>125</v>
      </c>
      <c r="D14">
        <v>24</v>
      </c>
      <c r="E14" t="s">
        <v>189</v>
      </c>
      <c r="F14" t="s">
        <v>220</v>
      </c>
      <c r="G14" s="1">
        <v>0.45401620370370371</v>
      </c>
      <c r="H14" s="1">
        <v>0.46805555555555561</v>
      </c>
      <c r="I14" s="1">
        <v>0.47013888888888888</v>
      </c>
      <c r="J14">
        <v>74.766574555470982</v>
      </c>
      <c r="K14">
        <v>71.70571485989251</v>
      </c>
      <c r="L14">
        <v>88.320736842105276</v>
      </c>
      <c r="M14">
        <v>0.51112781954887121</v>
      </c>
      <c r="N14">
        <v>1.0351761716209589E-2</v>
      </c>
      <c r="O14">
        <v>2.0686951842474759E-2</v>
      </c>
      <c r="P14" s="1">
        <v>0.47015046296296298</v>
      </c>
      <c r="Q14" s="1">
        <v>0.47115740740740741</v>
      </c>
      <c r="R14">
        <v>7</v>
      </c>
      <c r="S14">
        <v>7</v>
      </c>
      <c r="T14">
        <v>59.862994001119688</v>
      </c>
      <c r="U14">
        <v>45.457672619703317</v>
      </c>
      <c r="V14">
        <v>43.497269841269834</v>
      </c>
      <c r="W14">
        <v>0.44438095238095271</v>
      </c>
      <c r="X14">
        <v>1.1003779830514379E-2</v>
      </c>
      <c r="Y14">
        <v>2.5793330986008708E-2</v>
      </c>
      <c r="Z14" s="1">
        <v>0.47116898148148151</v>
      </c>
      <c r="AA14" s="1">
        <v>0.4725462962962963</v>
      </c>
      <c r="AB14">
        <v>57.84512680988901</v>
      </c>
      <c r="AC14">
        <v>50.144291798767362</v>
      </c>
      <c r="AD14">
        <v>58.138340909090907</v>
      </c>
      <c r="AE14">
        <v>0.51663636363636378</v>
      </c>
      <c r="AF14">
        <v>1.08631129785146E-2</v>
      </c>
      <c r="AG14">
        <v>2.3514958401723442E-2</v>
      </c>
      <c r="AH14" s="11">
        <v>0.4729976851851852</v>
      </c>
      <c r="AI14" s="11">
        <v>0.47410879629629632</v>
      </c>
      <c r="AJ14">
        <v>6</v>
      </c>
      <c r="AK14">
        <v>6</v>
      </c>
      <c r="AL14">
        <v>58.572686937199052</v>
      </c>
      <c r="AM14">
        <v>43.746383070444303</v>
      </c>
      <c r="AN14">
        <v>48.693323943661973</v>
      </c>
      <c r="AO14">
        <v>0.53374647887324023</v>
      </c>
      <c r="AP14">
        <v>1.222234871947277E-2</v>
      </c>
      <c r="AQ14">
        <v>2.6400581766603891E-2</v>
      </c>
      <c r="AR14" s="1">
        <v>0.47430555555555548</v>
      </c>
      <c r="AS14" s="1">
        <v>0.47569444444444442</v>
      </c>
      <c r="AT14">
        <v>67.827055899496102</v>
      </c>
      <c r="AU14">
        <v>42.24139538262159</v>
      </c>
      <c r="AV14">
        <v>60.784386363636372</v>
      </c>
      <c r="AW14">
        <v>0.4505227272727268</v>
      </c>
      <c r="AX14">
        <v>1.0401120897012331E-2</v>
      </c>
      <c r="AY14">
        <v>2.2394288215637211E-2</v>
      </c>
      <c r="AZ14" s="10">
        <v>0.47569444444444442</v>
      </c>
      <c r="BA14" s="10">
        <v>0.47986111111111113</v>
      </c>
      <c r="BB14" t="s">
        <v>101</v>
      </c>
      <c r="BC14" t="s">
        <v>393</v>
      </c>
      <c r="BD14" t="s">
        <v>394</v>
      </c>
      <c r="BE14" t="s">
        <v>105</v>
      </c>
      <c r="BF14" t="s">
        <v>106</v>
      </c>
      <c r="BG14" t="s">
        <v>101</v>
      </c>
      <c r="BH14" t="s">
        <v>395</v>
      </c>
      <c r="BI14" t="s">
        <v>105</v>
      </c>
      <c r="BJ14" t="s">
        <v>396</v>
      </c>
      <c r="BK14" t="s">
        <v>101</v>
      </c>
      <c r="BL14" t="s">
        <v>397</v>
      </c>
      <c r="BM14" t="s">
        <v>101</v>
      </c>
      <c r="BN14" t="s">
        <v>398</v>
      </c>
      <c r="BO14" t="s">
        <v>101</v>
      </c>
      <c r="BP14" t="s">
        <v>399</v>
      </c>
      <c r="BQ14" t="s">
        <v>101</v>
      </c>
      <c r="BR14" t="s">
        <v>400</v>
      </c>
      <c r="BS14" t="s">
        <v>225</v>
      </c>
      <c r="BT14" t="s">
        <v>401</v>
      </c>
      <c r="BU14" t="s">
        <v>402</v>
      </c>
      <c r="BV14" t="s">
        <v>403</v>
      </c>
      <c r="BW14" t="s">
        <v>111</v>
      </c>
      <c r="BX14" t="s">
        <v>112</v>
      </c>
      <c r="BY14" t="s">
        <v>123</v>
      </c>
      <c r="BZ14" t="s">
        <v>123</v>
      </c>
      <c r="CA14" t="s">
        <v>111</v>
      </c>
      <c r="CB14" t="s">
        <v>112</v>
      </c>
      <c r="CC14" t="s">
        <v>123</v>
      </c>
      <c r="CD14" t="s">
        <v>111</v>
      </c>
      <c r="CE14" t="s">
        <v>113</v>
      </c>
      <c r="CF14" t="s">
        <v>114</v>
      </c>
      <c r="CG14" t="s">
        <v>113</v>
      </c>
      <c r="CH14" t="s">
        <v>113</v>
      </c>
      <c r="CI14" t="s">
        <v>114</v>
      </c>
      <c r="CJ14" t="s">
        <v>112</v>
      </c>
      <c r="CK14" t="s">
        <v>113</v>
      </c>
      <c r="CL14" t="s">
        <v>155</v>
      </c>
      <c r="CM14" t="s">
        <v>117</v>
      </c>
      <c r="CN14" t="s">
        <v>116</v>
      </c>
      <c r="CO14">
        <v>52.875258393155498</v>
      </c>
      <c r="CP14">
        <v>40.423662558824468</v>
      </c>
      <c r="CQ14">
        <v>180.05640754716981</v>
      </c>
      <c r="CR14">
        <v>0.52529056603773627</v>
      </c>
      <c r="CS14">
        <v>1.013412806998808E-2</v>
      </c>
      <c r="CT14">
        <v>1.8480852178456519E-2</v>
      </c>
    </row>
    <row r="15" spans="1:98">
      <c r="A15">
        <v>14</v>
      </c>
      <c r="B15" t="s">
        <v>234</v>
      </c>
      <c r="C15" t="s">
        <v>95</v>
      </c>
      <c r="D15">
        <v>31</v>
      </c>
      <c r="E15" t="s">
        <v>334</v>
      </c>
      <c r="F15" t="s">
        <v>220</v>
      </c>
      <c r="G15" s="1">
        <v>0.593287037037037</v>
      </c>
      <c r="H15" s="1">
        <v>0.6020833333333333</v>
      </c>
      <c r="I15" s="1">
        <v>0.60347222222222219</v>
      </c>
      <c r="J15">
        <v>68.058551050548886</v>
      </c>
      <c r="K15">
        <v>59.083809556630563</v>
      </c>
      <c r="L15">
        <v>59.252644444444449</v>
      </c>
      <c r="M15">
        <v>0.47971111111111048</v>
      </c>
      <c r="N15">
        <v>9.3325707198321974E-3</v>
      </c>
      <c r="O15">
        <v>2.185801101681608E-2</v>
      </c>
      <c r="P15" s="1">
        <v>0.60348379629629634</v>
      </c>
      <c r="Q15" s="1">
        <v>0.60465277777777782</v>
      </c>
      <c r="R15">
        <v>7</v>
      </c>
      <c r="S15">
        <v>6</v>
      </c>
      <c r="T15">
        <v>69.452584786312698</v>
      </c>
      <c r="U15">
        <v>62.404066501499422</v>
      </c>
      <c r="V15">
        <v>51.151200000000003</v>
      </c>
      <c r="W15">
        <v>0.566906666666667</v>
      </c>
      <c r="X15">
        <v>1.283218143814622E-2</v>
      </c>
      <c r="Y15">
        <v>2.5997827319774659E-2</v>
      </c>
      <c r="Z15" s="1">
        <v>0.60466435185185186</v>
      </c>
      <c r="AA15" s="1">
        <v>0.60555555555555551</v>
      </c>
      <c r="AB15">
        <v>122.0693104439045</v>
      </c>
      <c r="AC15">
        <v>148.59163396440209</v>
      </c>
      <c r="AD15">
        <v>37.987803278688531</v>
      </c>
      <c r="AE15">
        <v>0.53822950819672122</v>
      </c>
      <c r="AF15">
        <v>1.2294254210919991E-2</v>
      </c>
      <c r="AG15">
        <v>2.9450768422105322E-2</v>
      </c>
      <c r="AH15" s="11">
        <v>0.6056597222222222</v>
      </c>
      <c r="AI15" s="1">
        <v>0.60689814814814813</v>
      </c>
      <c r="AJ15">
        <v>7</v>
      </c>
      <c r="AK15">
        <v>7</v>
      </c>
      <c r="AL15">
        <v>109.35473909375909</v>
      </c>
      <c r="AM15">
        <v>95.627816273734211</v>
      </c>
      <c r="AN15">
        <v>53.204246913580242</v>
      </c>
      <c r="AO15">
        <v>0.48893827160493891</v>
      </c>
      <c r="AP15">
        <v>1.085458844530841E-2</v>
      </c>
      <c r="AQ15">
        <v>2.5731050886409989E-2</v>
      </c>
      <c r="AR15" s="1">
        <v>0.6069444444444444</v>
      </c>
      <c r="AS15" s="1">
        <v>0.60833333333333328</v>
      </c>
      <c r="AT15">
        <v>136.9691667116374</v>
      </c>
      <c r="AU15">
        <v>170.06115129776919</v>
      </c>
      <c r="AV15">
        <v>89.063000000000002</v>
      </c>
      <c r="AW15">
        <v>0.51680000000000104</v>
      </c>
      <c r="AX15">
        <v>0.19049577676847379</v>
      </c>
      <c r="AY15">
        <v>0.30761614871719561</v>
      </c>
      <c r="AZ15" s="10">
        <v>0.60833333333333328</v>
      </c>
      <c r="BA15" s="10">
        <v>0.6118055555555556</v>
      </c>
      <c r="BB15" t="s">
        <v>105</v>
      </c>
      <c r="BC15" t="s">
        <v>196</v>
      </c>
      <c r="BD15" t="s">
        <v>106</v>
      </c>
      <c r="BE15" t="s">
        <v>106</v>
      </c>
      <c r="BF15" t="s">
        <v>106</v>
      </c>
      <c r="BG15" t="s">
        <v>106</v>
      </c>
      <c r="BH15" t="s">
        <v>106</v>
      </c>
      <c r="BI15" t="s">
        <v>105</v>
      </c>
      <c r="BJ15" t="s">
        <v>106</v>
      </c>
      <c r="BK15" t="s">
        <v>105</v>
      </c>
      <c r="BL15" t="s">
        <v>106</v>
      </c>
      <c r="BM15" t="s">
        <v>105</v>
      </c>
      <c r="BN15" t="s">
        <v>106</v>
      </c>
      <c r="BO15" t="s">
        <v>105</v>
      </c>
      <c r="BP15" t="s">
        <v>106</v>
      </c>
      <c r="BQ15" t="s">
        <v>105</v>
      </c>
      <c r="BR15" t="s">
        <v>106</v>
      </c>
      <c r="BS15" t="s">
        <v>105</v>
      </c>
      <c r="BT15" t="s">
        <v>106</v>
      </c>
      <c r="BU15" t="s">
        <v>153</v>
      </c>
      <c r="BV15" t="s">
        <v>404</v>
      </c>
      <c r="BW15" t="s">
        <v>123</v>
      </c>
      <c r="BX15" t="s">
        <v>112</v>
      </c>
      <c r="BY15" t="s">
        <v>112</v>
      </c>
      <c r="BZ15" t="s">
        <v>111</v>
      </c>
      <c r="CA15" t="s">
        <v>123</v>
      </c>
      <c r="CB15" t="s">
        <v>112</v>
      </c>
      <c r="CC15" t="s">
        <v>112</v>
      </c>
      <c r="CD15" t="s">
        <v>113</v>
      </c>
      <c r="CE15" t="s">
        <v>113</v>
      </c>
      <c r="CF15" t="s">
        <v>123</v>
      </c>
      <c r="CG15" t="s">
        <v>111</v>
      </c>
      <c r="CH15" t="s">
        <v>111</v>
      </c>
      <c r="CI15" t="s">
        <v>114</v>
      </c>
      <c r="CJ15" t="s">
        <v>123</v>
      </c>
      <c r="CK15" t="s">
        <v>111</v>
      </c>
      <c r="CL15" t="s">
        <v>155</v>
      </c>
      <c r="CM15" t="s">
        <v>116</v>
      </c>
      <c r="CN15" t="s">
        <v>116</v>
      </c>
      <c r="CO15">
        <v>51.226678524597183</v>
      </c>
      <c r="CP15">
        <v>44.79596255098825</v>
      </c>
      <c r="CQ15">
        <v>149.37260465116279</v>
      </c>
      <c r="CR15">
        <v>0.48688372093023341</v>
      </c>
      <c r="CS15">
        <v>8.2973927253471164E-3</v>
      </c>
      <c r="CT15">
        <v>1.5442217509644021E-2</v>
      </c>
    </row>
    <row r="16" spans="1:98">
      <c r="A16">
        <v>15</v>
      </c>
      <c r="B16" t="s">
        <v>99</v>
      </c>
      <c r="C16" t="s">
        <v>95</v>
      </c>
      <c r="D16">
        <v>27</v>
      </c>
      <c r="E16" t="s">
        <v>138</v>
      </c>
      <c r="F16" t="s">
        <v>220</v>
      </c>
      <c r="G16" s="1">
        <v>0.6517708333333333</v>
      </c>
      <c r="H16" s="1">
        <v>0.66527777777777775</v>
      </c>
      <c r="I16" s="1">
        <v>0.66736111111111107</v>
      </c>
      <c r="J16">
        <v>88.774174120454802</v>
      </c>
      <c r="K16">
        <v>76.664091846987205</v>
      </c>
      <c r="L16">
        <v>99.90913636363635</v>
      </c>
      <c r="M16">
        <v>0.58959090909090706</v>
      </c>
      <c r="N16">
        <v>5.0355385925057311E-2</v>
      </c>
      <c r="O16">
        <v>0.125393889533952</v>
      </c>
      <c r="P16" s="1">
        <v>0.66869212962962965</v>
      </c>
      <c r="Q16" s="1">
        <v>0.66981481481481486</v>
      </c>
      <c r="R16">
        <v>7</v>
      </c>
      <c r="S16">
        <v>7</v>
      </c>
      <c r="T16">
        <v>76.771694784827034</v>
      </c>
      <c r="U16">
        <v>89.179767480270101</v>
      </c>
      <c r="V16">
        <v>48.699295774647879</v>
      </c>
      <c r="W16">
        <v>0.49036619718309787</v>
      </c>
      <c r="X16">
        <v>1.5636829102102429E-2</v>
      </c>
      <c r="Y16">
        <v>5.5546595514127321E-2</v>
      </c>
      <c r="Z16" s="1">
        <v>0.6698263888888889</v>
      </c>
      <c r="AA16" s="1">
        <v>0.67120370370370375</v>
      </c>
      <c r="AB16">
        <v>91.551106139714221</v>
      </c>
      <c r="AC16">
        <v>90.137023063940674</v>
      </c>
      <c r="AD16">
        <v>57.775069767441863</v>
      </c>
      <c r="AE16">
        <v>0.54376744186046477</v>
      </c>
      <c r="AF16">
        <v>1.3727686036970711E-2</v>
      </c>
      <c r="AG16">
        <v>4.5179471924557457E-2</v>
      </c>
      <c r="AH16" s="11">
        <v>0.67224537037037035</v>
      </c>
      <c r="AI16" s="1">
        <v>0.67343750000000002</v>
      </c>
      <c r="AJ16">
        <v>7</v>
      </c>
      <c r="AK16">
        <v>6</v>
      </c>
      <c r="AL16">
        <v>64.184430997452893</v>
      </c>
      <c r="AM16">
        <v>71.951372467798365</v>
      </c>
      <c r="AN16">
        <v>51.130459459459459</v>
      </c>
      <c r="AO16">
        <v>0.50770270270270212</v>
      </c>
      <c r="AP16">
        <v>1.3618763633309799E-2</v>
      </c>
      <c r="AQ16">
        <v>4.7234375752958517E-2</v>
      </c>
      <c r="AR16" s="1">
        <v>0.67361111111111116</v>
      </c>
      <c r="AS16" s="1">
        <v>0.67500000000000004</v>
      </c>
      <c r="AT16">
        <v>91.940186399993422</v>
      </c>
      <c r="AU16">
        <v>67.353603738091195</v>
      </c>
      <c r="AV16">
        <v>59.869752808988757</v>
      </c>
      <c r="AW16">
        <v>0.49564044943820179</v>
      </c>
      <c r="AX16">
        <v>1.2249647194631581E-2</v>
      </c>
      <c r="AY16">
        <v>3.990850687434238E-2</v>
      </c>
      <c r="AZ16" s="10">
        <v>0.67500000000000004</v>
      </c>
      <c r="BA16" s="10">
        <v>0.6791666666666667</v>
      </c>
      <c r="BB16" t="s">
        <v>139</v>
      </c>
      <c r="BC16" t="s">
        <v>405</v>
      </c>
      <c r="BD16" t="s">
        <v>406</v>
      </c>
      <c r="BE16" t="s">
        <v>105</v>
      </c>
      <c r="BF16" t="s">
        <v>106</v>
      </c>
      <c r="BG16" t="s">
        <v>105</v>
      </c>
      <c r="BH16" t="s">
        <v>106</v>
      </c>
      <c r="BI16" t="s">
        <v>101</v>
      </c>
      <c r="BJ16" t="s">
        <v>407</v>
      </c>
      <c r="BK16" t="s">
        <v>101</v>
      </c>
      <c r="BL16" t="s">
        <v>408</v>
      </c>
      <c r="BM16" t="s">
        <v>101</v>
      </c>
      <c r="BN16" t="s">
        <v>409</v>
      </c>
      <c r="BO16" t="s">
        <v>101</v>
      </c>
      <c r="BP16" t="s">
        <v>241</v>
      </c>
      <c r="BQ16" t="s">
        <v>101</v>
      </c>
      <c r="BR16" t="s">
        <v>410</v>
      </c>
      <c r="BS16" t="s">
        <v>101</v>
      </c>
      <c r="BT16" t="s">
        <v>411</v>
      </c>
      <c r="BU16" t="s">
        <v>412</v>
      </c>
      <c r="BV16" t="s">
        <v>413</v>
      </c>
      <c r="BW16" t="s">
        <v>123</v>
      </c>
      <c r="BX16" t="s">
        <v>112</v>
      </c>
      <c r="BY16" t="s">
        <v>113</v>
      </c>
      <c r="BZ16" t="s">
        <v>123</v>
      </c>
      <c r="CA16" t="s">
        <v>123</v>
      </c>
      <c r="CB16" t="s">
        <v>123</v>
      </c>
      <c r="CC16" t="s">
        <v>123</v>
      </c>
      <c r="CD16" t="s">
        <v>123</v>
      </c>
      <c r="CE16" t="s">
        <v>111</v>
      </c>
      <c r="CF16" t="s">
        <v>123</v>
      </c>
      <c r="CG16" t="s">
        <v>123</v>
      </c>
      <c r="CH16" t="s">
        <v>111</v>
      </c>
      <c r="CI16" t="s">
        <v>112</v>
      </c>
      <c r="CJ16" t="s">
        <v>123</v>
      </c>
      <c r="CK16" t="s">
        <v>123</v>
      </c>
      <c r="CL16" t="s">
        <v>117</v>
      </c>
      <c r="CM16" t="s">
        <v>116</v>
      </c>
      <c r="CN16" t="s">
        <v>155</v>
      </c>
      <c r="CO16">
        <v>87.793385986704266</v>
      </c>
      <c r="CP16">
        <v>87.339798701155914</v>
      </c>
      <c r="CQ16">
        <v>177.2203953488372</v>
      </c>
      <c r="CR16">
        <v>0.52351937984496122</v>
      </c>
      <c r="CS16">
        <v>1.0388683333079881E-2</v>
      </c>
      <c r="CT16">
        <v>2.443587131041846E-2</v>
      </c>
    </row>
    <row r="17" spans="1:98">
      <c r="A17">
        <v>16</v>
      </c>
      <c r="B17" t="s">
        <v>137</v>
      </c>
      <c r="C17" t="s">
        <v>125</v>
      </c>
      <c r="D17">
        <v>63</v>
      </c>
      <c r="E17" t="s">
        <v>189</v>
      </c>
      <c r="F17" t="s">
        <v>245</v>
      </c>
      <c r="G17" s="1">
        <v>0.3495138888888889</v>
      </c>
      <c r="H17" s="1">
        <v>0.36180555555555549</v>
      </c>
      <c r="I17" s="1">
        <v>0.36319444444444438</v>
      </c>
      <c r="J17">
        <v>34.819506170396167</v>
      </c>
      <c r="K17">
        <v>23.49277437343645</v>
      </c>
      <c r="L17">
        <v>58.701750000000011</v>
      </c>
      <c r="M17">
        <v>0.46259090909090872</v>
      </c>
      <c r="N17">
        <v>9.2851010062627096E-3</v>
      </c>
      <c r="O17">
        <v>2.4017293531146969E-2</v>
      </c>
      <c r="P17" s="1">
        <v>0.36320601851851853</v>
      </c>
      <c r="Q17" s="1">
        <v>0.36432870370370368</v>
      </c>
      <c r="R17">
        <v>6</v>
      </c>
      <c r="S17">
        <v>5</v>
      </c>
      <c r="T17">
        <v>26.648298974986631</v>
      </c>
      <c r="U17">
        <v>18.95902013407953</v>
      </c>
      <c r="V17">
        <v>47.714383561643842</v>
      </c>
      <c r="W17">
        <v>0.52580821917808185</v>
      </c>
      <c r="X17">
        <v>9.0702936456314182E-3</v>
      </c>
      <c r="Y17">
        <v>2.3770615526627872E-2</v>
      </c>
      <c r="Z17" s="1">
        <v>0.36434027777777778</v>
      </c>
      <c r="AA17" s="1">
        <v>0.36571759259259262</v>
      </c>
      <c r="AB17">
        <v>58.104224213560443</v>
      </c>
      <c r="AC17">
        <v>35.70994259306557</v>
      </c>
      <c r="AD17">
        <v>58.074321839080447</v>
      </c>
      <c r="AE17">
        <v>0.53963218390804635</v>
      </c>
      <c r="AF17">
        <v>8.2166754466836793E-3</v>
      </c>
      <c r="AG17">
        <v>2.0909167468475969E-2</v>
      </c>
      <c r="AH17" s="11">
        <v>0.36766203703703698</v>
      </c>
      <c r="AI17" s="1">
        <v>0.36810185185185179</v>
      </c>
      <c r="AJ17">
        <v>6</v>
      </c>
      <c r="AK17">
        <v>6</v>
      </c>
      <c r="AL17">
        <v>270.62397035985788</v>
      </c>
      <c r="AM17">
        <v>297.7247050548541</v>
      </c>
      <c r="AN17">
        <v>18.279599999999999</v>
      </c>
      <c r="AO17">
        <v>0.49686666666666651</v>
      </c>
      <c r="AP17">
        <v>1.0131287518452121E-2</v>
      </c>
      <c r="AQ17">
        <v>4.7057964516350768E-2</v>
      </c>
      <c r="AR17" s="1">
        <v>0.36811342592592589</v>
      </c>
      <c r="AS17" s="1">
        <v>0.36949074074074068</v>
      </c>
      <c r="AT17">
        <v>45.529793999580022</v>
      </c>
      <c r="AU17">
        <v>15.810939744456761</v>
      </c>
      <c r="AV17">
        <v>58.608906976744187</v>
      </c>
      <c r="AW17">
        <v>0.50118604651162824</v>
      </c>
      <c r="AX17">
        <v>1.223513741839148E-2</v>
      </c>
      <c r="AY17">
        <v>3.0443821556308051E-2</v>
      </c>
      <c r="AZ17" s="10">
        <v>0.37083333333333329</v>
      </c>
      <c r="BA17" s="10">
        <v>0.375</v>
      </c>
      <c r="BB17" t="s">
        <v>414</v>
      </c>
      <c r="BC17" t="s">
        <v>196</v>
      </c>
      <c r="BD17" t="s">
        <v>415</v>
      </c>
      <c r="BE17" t="s">
        <v>162</v>
      </c>
      <c r="BF17" t="s">
        <v>416</v>
      </c>
      <c r="BG17" t="s">
        <v>162</v>
      </c>
      <c r="BH17" t="s">
        <v>249</v>
      </c>
      <c r="BI17" t="s">
        <v>162</v>
      </c>
      <c r="BJ17" t="s">
        <v>250</v>
      </c>
      <c r="BK17" t="s">
        <v>162</v>
      </c>
      <c r="BL17" t="s">
        <v>417</v>
      </c>
      <c r="BM17" t="s">
        <v>162</v>
      </c>
      <c r="BN17" t="s">
        <v>252</v>
      </c>
      <c r="BO17" t="s">
        <v>162</v>
      </c>
      <c r="BP17" t="s">
        <v>418</v>
      </c>
      <c r="BQ17" t="s">
        <v>162</v>
      </c>
      <c r="BR17" t="s">
        <v>419</v>
      </c>
      <c r="BS17" t="s">
        <v>162</v>
      </c>
      <c r="BT17" t="s">
        <v>420</v>
      </c>
      <c r="BU17" t="s">
        <v>186</v>
      </c>
      <c r="BV17" t="s">
        <v>421</v>
      </c>
      <c r="BW17" t="s">
        <v>173</v>
      </c>
      <c r="BX17" t="s">
        <v>172</v>
      </c>
      <c r="BY17" t="s">
        <v>171</v>
      </c>
      <c r="BZ17" t="s">
        <v>170</v>
      </c>
      <c r="CA17" t="s">
        <v>173</v>
      </c>
      <c r="CB17" t="s">
        <v>172</v>
      </c>
      <c r="CC17" t="s">
        <v>171</v>
      </c>
      <c r="CD17" t="s">
        <v>169</v>
      </c>
      <c r="CE17" t="s">
        <v>171</v>
      </c>
      <c r="CF17" t="s">
        <v>172</v>
      </c>
      <c r="CH17" t="s">
        <v>173</v>
      </c>
      <c r="CI17" t="s">
        <v>172</v>
      </c>
      <c r="CJ17" t="s">
        <v>172</v>
      </c>
      <c r="CK17" t="s">
        <v>173</v>
      </c>
      <c r="CL17" t="s">
        <v>208</v>
      </c>
      <c r="CM17" t="s">
        <v>175</v>
      </c>
      <c r="CN17" t="s">
        <v>175</v>
      </c>
      <c r="CO17">
        <v>31.61272186905051</v>
      </c>
      <c r="CP17">
        <v>17.765161784684029</v>
      </c>
      <c r="CQ17">
        <v>177.95786046511631</v>
      </c>
      <c r="CR17">
        <v>0.4788139534883723</v>
      </c>
      <c r="CS17">
        <v>8.6898457534228275E-3</v>
      </c>
      <c r="CT17">
        <v>1.9185616322073731E-2</v>
      </c>
    </row>
    <row r="18" spans="1:98" ht="13.15" customHeight="1">
      <c r="A18">
        <v>17</v>
      </c>
      <c r="B18" t="s">
        <v>149</v>
      </c>
      <c r="C18" t="s">
        <v>95</v>
      </c>
      <c r="D18">
        <v>40</v>
      </c>
      <c r="E18" t="s">
        <v>138</v>
      </c>
      <c r="F18" t="s">
        <v>245</v>
      </c>
      <c r="G18" s="1">
        <v>0.43765046296296289</v>
      </c>
      <c r="H18" s="1">
        <v>0.45277777777777778</v>
      </c>
      <c r="I18" s="1">
        <v>0.45416666666666672</v>
      </c>
      <c r="J18">
        <v>469.36823816186069</v>
      </c>
      <c r="K18">
        <v>445.31666635478001</v>
      </c>
      <c r="L18">
        <v>59.982568181818174</v>
      </c>
      <c r="M18">
        <v>0.48293181818181807</v>
      </c>
      <c r="N18">
        <v>9.6248221360006551E-3</v>
      </c>
      <c r="O18">
        <v>2.2032366528983979E-2</v>
      </c>
      <c r="P18" s="1">
        <v>0.45469907407407412</v>
      </c>
      <c r="Q18" s="1">
        <v>0.4559375</v>
      </c>
      <c r="R18">
        <v>7</v>
      </c>
      <c r="S18">
        <v>7</v>
      </c>
      <c r="T18">
        <v>376.95175052282548</v>
      </c>
      <c r="U18">
        <v>449.33382789290272</v>
      </c>
      <c r="V18">
        <v>53.353124999999991</v>
      </c>
      <c r="W18">
        <v>0.56267499999999981</v>
      </c>
      <c r="X18">
        <v>9.3340204016428285E-3</v>
      </c>
      <c r="Y18">
        <v>2.2042542010763881E-2</v>
      </c>
      <c r="Z18" s="1">
        <v>0.45594907407407409</v>
      </c>
      <c r="AA18" s="1">
        <v>0.45694444444444438</v>
      </c>
      <c r="AB18">
        <v>0</v>
      </c>
      <c r="AD18">
        <v>42.182179104477612</v>
      </c>
      <c r="AE18">
        <v>0.49970149253731361</v>
      </c>
      <c r="AF18">
        <v>9.9057736981009101E-3</v>
      </c>
      <c r="AG18">
        <v>2.3812672149029081E-2</v>
      </c>
      <c r="AH18" s="11">
        <v>0.45711805555555562</v>
      </c>
      <c r="AI18" s="1">
        <v>0.4582060185185185</v>
      </c>
      <c r="AJ18">
        <v>6</v>
      </c>
      <c r="AK18">
        <v>6</v>
      </c>
      <c r="AL18">
        <v>393.21522961625971</v>
      </c>
      <c r="AM18">
        <v>538.54073518796099</v>
      </c>
      <c r="AN18">
        <v>46.299283582089558</v>
      </c>
      <c r="AO18">
        <v>0.46817910447761169</v>
      </c>
      <c r="AP18">
        <v>7.5204966861524367E-3</v>
      </c>
      <c r="AQ18">
        <v>2.0216618375797399E-2</v>
      </c>
      <c r="AR18" s="1">
        <v>0.45833333333333331</v>
      </c>
      <c r="AS18" s="1">
        <v>0.4597222222222222</v>
      </c>
      <c r="AT18">
        <v>315.70701145106841</v>
      </c>
      <c r="AU18">
        <v>431.41274900030493</v>
      </c>
      <c r="AV18">
        <v>57.835418604651167</v>
      </c>
      <c r="AW18">
        <v>0.51086046511627881</v>
      </c>
      <c r="AX18">
        <v>9.8738289185512224E-3</v>
      </c>
      <c r="AY18">
        <v>2.2415474689135451E-2</v>
      </c>
      <c r="AZ18" s="10">
        <v>0.4597222222222222</v>
      </c>
      <c r="BA18" s="10">
        <v>0.46527777777777779</v>
      </c>
      <c r="BB18" t="s">
        <v>257</v>
      </c>
      <c r="BC18" t="s">
        <v>422</v>
      </c>
      <c r="BD18" t="s">
        <v>423</v>
      </c>
      <c r="BE18" t="s">
        <v>131</v>
      </c>
      <c r="BF18" t="s">
        <v>424</v>
      </c>
      <c r="BG18" t="s">
        <v>133</v>
      </c>
      <c r="BH18" t="s">
        <v>106</v>
      </c>
      <c r="BI18" t="s">
        <v>131</v>
      </c>
      <c r="BJ18" t="s">
        <v>425</v>
      </c>
      <c r="BK18" t="s">
        <v>131</v>
      </c>
      <c r="BL18" t="s">
        <v>426</v>
      </c>
      <c r="BM18" t="s">
        <v>131</v>
      </c>
      <c r="BN18" t="s">
        <v>427</v>
      </c>
      <c r="BO18" t="s">
        <v>131</v>
      </c>
      <c r="BP18" t="s">
        <v>428</v>
      </c>
      <c r="BQ18" t="s">
        <v>105</v>
      </c>
      <c r="BR18" t="s">
        <v>106</v>
      </c>
      <c r="BS18" t="s">
        <v>131</v>
      </c>
      <c r="BT18" t="s">
        <v>429</v>
      </c>
      <c r="BU18" t="s">
        <v>279</v>
      </c>
      <c r="BV18" t="s">
        <v>105</v>
      </c>
      <c r="BW18" t="s">
        <v>111</v>
      </c>
      <c r="BX18" t="s">
        <v>123</v>
      </c>
      <c r="BY18" t="s">
        <v>123</v>
      </c>
      <c r="BZ18" t="s">
        <v>123</v>
      </c>
      <c r="CA18" t="s">
        <v>123</v>
      </c>
      <c r="CB18" t="s">
        <v>111</v>
      </c>
      <c r="CC18" t="s">
        <v>123</v>
      </c>
      <c r="CD18" t="s">
        <v>111</v>
      </c>
      <c r="CE18" t="s">
        <v>111</v>
      </c>
      <c r="CF18" t="s">
        <v>123</v>
      </c>
      <c r="CG18" t="s">
        <v>123</v>
      </c>
      <c r="CH18" t="s">
        <v>112</v>
      </c>
      <c r="CI18" t="s">
        <v>123</v>
      </c>
      <c r="CJ18" t="s">
        <v>123</v>
      </c>
      <c r="CK18" t="s">
        <v>123</v>
      </c>
      <c r="CL18" t="s">
        <v>124</v>
      </c>
      <c r="CM18" t="s">
        <v>117</v>
      </c>
      <c r="CN18" t="s">
        <v>155</v>
      </c>
      <c r="CO18">
        <v>405.15406095728798</v>
      </c>
      <c r="CP18">
        <v>573.08194190176062</v>
      </c>
      <c r="CQ18">
        <v>240.25245348837211</v>
      </c>
      <c r="CR18">
        <v>0.5612616279069772</v>
      </c>
      <c r="CS18">
        <v>8.2256698109954094E-3</v>
      </c>
      <c r="CT18">
        <v>1.579772785099513E-2</v>
      </c>
    </row>
    <row r="19" spans="1:98">
      <c r="A19">
        <v>18</v>
      </c>
      <c r="B19" t="s">
        <v>99</v>
      </c>
      <c r="C19" t="s">
        <v>95</v>
      </c>
      <c r="D19">
        <v>25</v>
      </c>
      <c r="E19" t="s">
        <v>156</v>
      </c>
      <c r="F19" t="s">
        <v>245</v>
      </c>
      <c r="G19" s="1">
        <v>0.5720601851851852</v>
      </c>
      <c r="H19" s="1">
        <v>0.58472222222222225</v>
      </c>
      <c r="I19" s="1">
        <v>0.58611111111111114</v>
      </c>
      <c r="J19">
        <v>293.84702354390771</v>
      </c>
      <c r="K19">
        <v>359.21839127691942</v>
      </c>
      <c r="L19">
        <v>59.989533333333341</v>
      </c>
      <c r="M19">
        <v>0.47222222222222221</v>
      </c>
      <c r="N19">
        <v>1.0116880543803421E-2</v>
      </c>
      <c r="O19">
        <v>2.141301873352993E-2</v>
      </c>
      <c r="P19" s="1">
        <v>0.58633101851851854</v>
      </c>
      <c r="Q19" s="1">
        <v>0.58746527777777779</v>
      </c>
      <c r="R19">
        <v>7</v>
      </c>
      <c r="S19">
        <v>7</v>
      </c>
      <c r="T19">
        <v>186.3100089426953</v>
      </c>
      <c r="U19">
        <v>267.00703005419319</v>
      </c>
      <c r="V19">
        <v>48.731232876712333</v>
      </c>
      <c r="W19">
        <v>0.56142465753424653</v>
      </c>
      <c r="X19">
        <v>1.162405399773939E-2</v>
      </c>
      <c r="Y19">
        <v>2.5292417285113371E-2</v>
      </c>
      <c r="Z19" s="1">
        <v>0.58750000000000002</v>
      </c>
      <c r="AA19" s="1">
        <v>0.58888888888888891</v>
      </c>
      <c r="AB19">
        <v>338.62939710825191</v>
      </c>
      <c r="AC19">
        <v>496.08863565518942</v>
      </c>
      <c r="AD19">
        <v>59.171802197802201</v>
      </c>
      <c r="AE19">
        <v>0.44793406593406698</v>
      </c>
      <c r="AF19">
        <v>1.1173091380721339E-2</v>
      </c>
      <c r="AG19">
        <v>2.3666687572370601E-2</v>
      </c>
      <c r="AH19" s="11">
        <v>0.58908564814814812</v>
      </c>
      <c r="AI19" s="1">
        <v>0.59026620370370375</v>
      </c>
      <c r="AJ19">
        <v>7</v>
      </c>
      <c r="AK19">
        <v>7</v>
      </c>
      <c r="AL19">
        <v>390.32294321497898</v>
      </c>
      <c r="AM19">
        <v>552.00000000000671</v>
      </c>
      <c r="AN19">
        <v>50.862641025641032</v>
      </c>
      <c r="AO19">
        <v>0.46841025641025608</v>
      </c>
      <c r="AP19">
        <v>1.0857187660438181E-2</v>
      </c>
      <c r="AQ19">
        <v>2.3928289308888968E-2</v>
      </c>
      <c r="AR19" s="1">
        <v>0.59027777777777779</v>
      </c>
      <c r="AS19" s="1">
        <v>0.59166666666666667</v>
      </c>
      <c r="AT19">
        <v>335.13518129791959</v>
      </c>
      <c r="AU19">
        <v>460.14816454412892</v>
      </c>
      <c r="AV19">
        <v>58.743752808988759</v>
      </c>
      <c r="AW19">
        <v>0.45687640449438183</v>
      </c>
      <c r="AX19">
        <v>1.153603106354018E-2</v>
      </c>
      <c r="AY19">
        <v>2.4319004218634959E-2</v>
      </c>
      <c r="AZ19" s="10">
        <v>0.59166666666666667</v>
      </c>
      <c r="BA19" s="10">
        <v>0.59722222222222221</v>
      </c>
      <c r="BB19" t="s">
        <v>128</v>
      </c>
      <c r="BC19" t="s">
        <v>196</v>
      </c>
      <c r="BD19" t="s">
        <v>430</v>
      </c>
      <c r="BE19" t="s">
        <v>105</v>
      </c>
      <c r="BF19" t="s">
        <v>106</v>
      </c>
      <c r="BG19" t="s">
        <v>101</v>
      </c>
      <c r="BH19" t="s">
        <v>431</v>
      </c>
      <c r="BI19" t="s">
        <v>101</v>
      </c>
      <c r="BJ19" t="s">
        <v>432</v>
      </c>
      <c r="BK19" t="s">
        <v>101</v>
      </c>
      <c r="BL19" t="s">
        <v>433</v>
      </c>
      <c r="BM19" t="s">
        <v>105</v>
      </c>
      <c r="BN19" t="s">
        <v>105</v>
      </c>
      <c r="BO19" t="s">
        <v>101</v>
      </c>
      <c r="BP19" t="s">
        <v>357</v>
      </c>
      <c r="BQ19" t="s">
        <v>105</v>
      </c>
      <c r="BR19" t="s">
        <v>105</v>
      </c>
      <c r="BS19" t="s">
        <v>101</v>
      </c>
      <c r="BT19" t="s">
        <v>434</v>
      </c>
      <c r="BU19">
        <v>42</v>
      </c>
      <c r="BV19" t="s">
        <v>435</v>
      </c>
      <c r="BW19" t="s">
        <v>123</v>
      </c>
      <c r="BX19" t="s">
        <v>123</v>
      </c>
      <c r="BY19" t="s">
        <v>123</v>
      </c>
      <c r="BZ19" t="s">
        <v>123</v>
      </c>
      <c r="CA19" t="s">
        <v>112</v>
      </c>
      <c r="CB19" t="s">
        <v>111</v>
      </c>
      <c r="CC19" t="s">
        <v>123</v>
      </c>
      <c r="CD19" t="s">
        <v>123</v>
      </c>
      <c r="CE19" t="s">
        <v>111</v>
      </c>
      <c r="CF19" t="s">
        <v>111</v>
      </c>
      <c r="CG19" t="s">
        <v>123</v>
      </c>
      <c r="CH19" t="s">
        <v>123</v>
      </c>
      <c r="CI19" t="s">
        <v>123</v>
      </c>
      <c r="CJ19" t="s">
        <v>111</v>
      </c>
      <c r="CK19" t="s">
        <v>123</v>
      </c>
      <c r="CL19" t="s">
        <v>115</v>
      </c>
      <c r="CM19" t="s">
        <v>116</v>
      </c>
      <c r="CN19" t="s">
        <v>117</v>
      </c>
      <c r="CO19">
        <v>399.14133541955363</v>
      </c>
      <c r="CP19">
        <v>553.35465153044038</v>
      </c>
      <c r="CQ19">
        <v>240.60219943019939</v>
      </c>
      <c r="CR19">
        <v>0.50211965811965986</v>
      </c>
      <c r="CS19">
        <v>1.040544380840893E-2</v>
      </c>
      <c r="CT19">
        <v>1.90193778052529E-2</v>
      </c>
    </row>
    <row r="20" spans="1:98">
      <c r="A20">
        <v>19</v>
      </c>
      <c r="B20" t="s">
        <v>118</v>
      </c>
      <c r="C20" t="s">
        <v>95</v>
      </c>
      <c r="D20">
        <v>19</v>
      </c>
      <c r="E20" t="s">
        <v>334</v>
      </c>
      <c r="F20" t="s">
        <v>245</v>
      </c>
      <c r="G20" s="1">
        <v>0.64271990740740736</v>
      </c>
      <c r="H20" s="1">
        <v>0.65833333333333333</v>
      </c>
      <c r="I20" s="11">
        <v>0.65972222222222221</v>
      </c>
      <c r="J20">
        <v>310.94391398941838</v>
      </c>
      <c r="K20">
        <v>393.23434488864069</v>
      </c>
      <c r="L20">
        <v>60.14765432098767</v>
      </c>
      <c r="M20">
        <v>0.50772839506172862</v>
      </c>
      <c r="N20">
        <v>1.6199756023228019E-2</v>
      </c>
      <c r="O20">
        <v>4.2267397023287689E-2</v>
      </c>
      <c r="P20" s="1">
        <v>0.65973379629629625</v>
      </c>
      <c r="Q20" s="1">
        <v>0.66027777777777774</v>
      </c>
      <c r="R20">
        <v>3</v>
      </c>
      <c r="S20">
        <v>2</v>
      </c>
      <c r="T20">
        <v>424.18752285452052</v>
      </c>
      <c r="U20">
        <v>553.24569587119174</v>
      </c>
      <c r="V20">
        <v>23.733058823529412</v>
      </c>
      <c r="W20">
        <v>0.5154117647058819</v>
      </c>
      <c r="X20">
        <v>2.4398106352568529E-2</v>
      </c>
      <c r="Y20">
        <v>7.6578595336973643E-2</v>
      </c>
      <c r="Z20" s="1">
        <v>0.66041666666666665</v>
      </c>
      <c r="AA20" s="1">
        <v>0.66180555555555554</v>
      </c>
      <c r="AB20">
        <v>205.1160766848964</v>
      </c>
      <c r="AC20">
        <v>266.66450882129129</v>
      </c>
      <c r="AD20">
        <v>59.056988235294106</v>
      </c>
      <c r="AE20">
        <v>0.48896470588235291</v>
      </c>
      <c r="AF20">
        <v>1.7147113223600321E-2</v>
      </c>
      <c r="AG20">
        <v>4.5446006274767352E-2</v>
      </c>
      <c r="AH20" s="11">
        <v>0.66181712962962957</v>
      </c>
      <c r="AI20" s="1">
        <v>0.66285879629629629</v>
      </c>
      <c r="AJ20">
        <v>5</v>
      </c>
      <c r="AK20">
        <v>5</v>
      </c>
      <c r="AL20">
        <v>0</v>
      </c>
      <c r="AN20">
        <v>42.56840625000001</v>
      </c>
      <c r="AO20">
        <v>0.55765624999999996</v>
      </c>
      <c r="AP20">
        <v>1.574828744029089E-2</v>
      </c>
      <c r="AQ20">
        <v>5.3698263638091527E-2</v>
      </c>
      <c r="AR20" s="1">
        <v>0.66319444444444442</v>
      </c>
      <c r="AS20" s="1">
        <v>0.6645833333333333</v>
      </c>
      <c r="AT20">
        <v>442.97626313039319</v>
      </c>
      <c r="AU20">
        <v>640.00198863326898</v>
      </c>
      <c r="AV20">
        <v>60.174050000000001</v>
      </c>
      <c r="AW20">
        <v>0.54502500000000054</v>
      </c>
      <c r="AX20">
        <v>3.043285303022614E-2</v>
      </c>
      <c r="AY20">
        <v>6.7407888496573559E-2</v>
      </c>
      <c r="AZ20" s="10">
        <v>0.6645833333333333</v>
      </c>
      <c r="BA20" s="10">
        <v>0.66666666666666663</v>
      </c>
      <c r="BB20" t="s">
        <v>105</v>
      </c>
      <c r="BC20" t="s">
        <v>105</v>
      </c>
      <c r="BD20" t="s">
        <v>436</v>
      </c>
      <c r="BE20" t="s">
        <v>101</v>
      </c>
      <c r="BF20" t="s">
        <v>437</v>
      </c>
      <c r="BG20" t="s">
        <v>105</v>
      </c>
      <c r="BH20" t="s">
        <v>105</v>
      </c>
      <c r="BI20" t="s">
        <v>105</v>
      </c>
      <c r="BJ20" t="s">
        <v>105</v>
      </c>
      <c r="BK20" t="s">
        <v>105</v>
      </c>
      <c r="BL20" t="s">
        <v>105</v>
      </c>
      <c r="BM20" t="s">
        <v>105</v>
      </c>
      <c r="BN20" t="s">
        <v>105</v>
      </c>
      <c r="BO20" t="s">
        <v>105</v>
      </c>
      <c r="BP20" t="s">
        <v>105</v>
      </c>
      <c r="BQ20" t="s">
        <v>105</v>
      </c>
      <c r="BR20" t="s">
        <v>105</v>
      </c>
      <c r="BS20" t="s">
        <v>105</v>
      </c>
      <c r="BT20" t="s">
        <v>105</v>
      </c>
      <c r="BU20" t="s">
        <v>438</v>
      </c>
      <c r="BV20" t="s">
        <v>105</v>
      </c>
      <c r="BW20" t="s">
        <v>112</v>
      </c>
      <c r="BX20" t="s">
        <v>123</v>
      </c>
      <c r="BY20" t="s">
        <v>112</v>
      </c>
      <c r="BZ20" t="s">
        <v>123</v>
      </c>
      <c r="CA20" t="s">
        <v>123</v>
      </c>
      <c r="CB20" t="s">
        <v>123</v>
      </c>
      <c r="CC20" t="s">
        <v>112</v>
      </c>
      <c r="CD20" t="s">
        <v>111</v>
      </c>
      <c r="CE20" t="s">
        <v>113</v>
      </c>
      <c r="CF20" t="s">
        <v>123</v>
      </c>
      <c r="CG20" t="s">
        <v>123</v>
      </c>
      <c r="CH20" t="s">
        <v>123</v>
      </c>
      <c r="CI20" t="s">
        <v>112</v>
      </c>
      <c r="CJ20" t="s">
        <v>123</v>
      </c>
      <c r="CK20" t="s">
        <v>112</v>
      </c>
      <c r="CL20" t="s">
        <v>117</v>
      </c>
      <c r="CM20" t="s">
        <v>116</v>
      </c>
      <c r="CN20" t="s">
        <v>116</v>
      </c>
      <c r="CO20">
        <v>235.33776779658149</v>
      </c>
      <c r="CP20">
        <v>325.53086314071822</v>
      </c>
      <c r="CQ20">
        <v>91.229196721311467</v>
      </c>
      <c r="CR20">
        <v>0.49362295081967161</v>
      </c>
      <c r="CS20">
        <v>1.5717483761546209E-2</v>
      </c>
      <c r="CT20">
        <v>3.3699440378172518E-2</v>
      </c>
    </row>
    <row r="21" spans="1:98">
      <c r="A21">
        <v>20</v>
      </c>
      <c r="B21" t="s">
        <v>99</v>
      </c>
      <c r="C21" t="s">
        <v>95</v>
      </c>
      <c r="D21">
        <v>23</v>
      </c>
      <c r="E21" t="s">
        <v>189</v>
      </c>
      <c r="F21" t="s">
        <v>280</v>
      </c>
      <c r="G21" s="1">
        <v>0.55004629629629631</v>
      </c>
      <c r="H21" s="1">
        <v>0.5625</v>
      </c>
      <c r="I21" s="1">
        <v>0.56388888888888888</v>
      </c>
      <c r="J21">
        <v>110.9393621824462</v>
      </c>
      <c r="K21">
        <v>129.70845779542921</v>
      </c>
      <c r="L21">
        <v>57.000181818181822</v>
      </c>
      <c r="M21">
        <v>0.45133333333333431</v>
      </c>
      <c r="N21">
        <v>4.5141554025937218E-2</v>
      </c>
      <c r="O21">
        <v>0.1626346680167135</v>
      </c>
      <c r="P21" s="1">
        <v>0.56409722222222225</v>
      </c>
      <c r="Q21" s="1">
        <v>0.56530092592592596</v>
      </c>
      <c r="R21">
        <v>7</v>
      </c>
      <c r="S21">
        <v>7</v>
      </c>
      <c r="T21">
        <v>83.718004959919142</v>
      </c>
      <c r="U21">
        <v>82.654964383604522</v>
      </c>
      <c r="V21">
        <v>42.560521739130436</v>
      </c>
      <c r="W21">
        <v>0.53173913043478227</v>
      </c>
      <c r="X21">
        <v>3.1548861121042229E-2</v>
      </c>
      <c r="Y21">
        <v>0.12481974099990061</v>
      </c>
      <c r="Z21" s="1">
        <v>0.5653125</v>
      </c>
      <c r="AA21" s="1">
        <v>0.56666666666666665</v>
      </c>
      <c r="AB21">
        <v>48.258294329212568</v>
      </c>
      <c r="AC21">
        <v>54.49193322425743</v>
      </c>
      <c r="AD21">
        <v>59.551351351351357</v>
      </c>
      <c r="AE21">
        <v>0.57329729729729606</v>
      </c>
      <c r="AF21">
        <v>3.9331884496647193E-2</v>
      </c>
      <c r="AG21">
        <v>0.1549425136636714</v>
      </c>
      <c r="AH21" s="11">
        <v>0.56682870370370375</v>
      </c>
      <c r="AI21" s="1">
        <v>0.56806712962962957</v>
      </c>
      <c r="AJ21">
        <v>7</v>
      </c>
      <c r="AK21">
        <v>7</v>
      </c>
      <c r="AL21">
        <v>37.41762578761395</v>
      </c>
      <c r="AM21">
        <v>19.726332784585441</v>
      </c>
      <c r="AN21">
        <v>52.046000000000006</v>
      </c>
      <c r="AO21">
        <v>0.49301818181818208</v>
      </c>
      <c r="AP21">
        <v>2.1682889683404899E-2</v>
      </c>
      <c r="AQ21">
        <v>9.5233231574727434E-2</v>
      </c>
      <c r="AR21" s="1">
        <v>0.56807870370370372</v>
      </c>
      <c r="AS21" s="1">
        <v>0.56944444444444442</v>
      </c>
      <c r="AT21">
        <v>44.258356516968071</v>
      </c>
      <c r="AU21">
        <v>42.542857647813548</v>
      </c>
      <c r="AV21">
        <v>58.903034482758613</v>
      </c>
      <c r="AW21">
        <v>0.43051724137930991</v>
      </c>
      <c r="AX21">
        <v>2.2671327018776891E-2</v>
      </c>
      <c r="AY21">
        <v>8.3034163179309228E-2</v>
      </c>
      <c r="AZ21" s="10">
        <v>0.56944444444444442</v>
      </c>
      <c r="BA21" s="10">
        <v>0.57222222222222219</v>
      </c>
      <c r="BB21" t="s">
        <v>133</v>
      </c>
      <c r="BC21" t="s">
        <v>133</v>
      </c>
      <c r="BD21" t="s">
        <v>133</v>
      </c>
      <c r="BE21" t="s">
        <v>133</v>
      </c>
      <c r="BF21" t="s">
        <v>133</v>
      </c>
      <c r="BG21" t="s">
        <v>133</v>
      </c>
      <c r="BH21" t="s">
        <v>133</v>
      </c>
      <c r="BI21" t="s">
        <v>133</v>
      </c>
      <c r="BJ21" t="s">
        <v>133</v>
      </c>
      <c r="BK21" t="s">
        <v>133</v>
      </c>
      <c r="BL21" t="s">
        <v>133</v>
      </c>
      <c r="BM21" t="s">
        <v>133</v>
      </c>
      <c r="BN21" t="s">
        <v>133</v>
      </c>
      <c r="BO21" t="s">
        <v>133</v>
      </c>
      <c r="BP21" t="s">
        <v>133</v>
      </c>
      <c r="BQ21" t="s">
        <v>133</v>
      </c>
      <c r="BR21" t="s">
        <v>133</v>
      </c>
      <c r="BS21" t="s">
        <v>133</v>
      </c>
      <c r="BT21" t="s">
        <v>133</v>
      </c>
      <c r="BU21" t="s">
        <v>318</v>
      </c>
      <c r="BV21" t="s">
        <v>219</v>
      </c>
      <c r="BW21" t="s">
        <v>112</v>
      </c>
      <c r="BX21" t="s">
        <v>111</v>
      </c>
      <c r="BY21" t="s">
        <v>111</v>
      </c>
      <c r="BZ21" t="s">
        <v>112</v>
      </c>
      <c r="CA21" t="s">
        <v>112</v>
      </c>
      <c r="CB21" t="s">
        <v>111</v>
      </c>
      <c r="CC21" t="s">
        <v>111</v>
      </c>
      <c r="CD21" t="s">
        <v>123</v>
      </c>
      <c r="CE21" t="s">
        <v>112</v>
      </c>
      <c r="CF21" t="s">
        <v>111</v>
      </c>
      <c r="CG21" t="s">
        <v>112</v>
      </c>
      <c r="CH21" t="s">
        <v>112</v>
      </c>
      <c r="CI21" t="s">
        <v>111</v>
      </c>
      <c r="CJ21" t="s">
        <v>111</v>
      </c>
      <c r="CK21" t="s">
        <v>112</v>
      </c>
      <c r="CL21" t="s">
        <v>117</v>
      </c>
      <c r="CM21" t="s">
        <v>116</v>
      </c>
      <c r="CN21" t="s">
        <v>117</v>
      </c>
      <c r="CO21">
        <v>73.356486099813679</v>
      </c>
      <c r="CP21">
        <v>89.826020066682332</v>
      </c>
      <c r="CQ21">
        <v>116.8864202898551</v>
      </c>
      <c r="CR21">
        <v>0.45944927536231828</v>
      </c>
      <c r="CS21">
        <v>2.5363845196795971E-2</v>
      </c>
      <c r="CT21">
        <v>6.550986649500444E-2</v>
      </c>
    </row>
    <row r="22" spans="1:98" ht="15" customHeight="1">
      <c r="A22">
        <v>21</v>
      </c>
      <c r="B22" t="s">
        <v>99</v>
      </c>
      <c r="C22" t="s">
        <v>95</v>
      </c>
      <c r="D22">
        <v>23</v>
      </c>
      <c r="E22" t="s">
        <v>119</v>
      </c>
      <c r="F22" t="s">
        <v>283</v>
      </c>
      <c r="G22" s="1">
        <v>0.41842592592592592</v>
      </c>
      <c r="H22" s="1">
        <v>0.43194444444444452</v>
      </c>
      <c r="I22" s="1">
        <v>0.4375</v>
      </c>
      <c r="J22">
        <v>73.777328477237035</v>
      </c>
      <c r="K22">
        <v>62.935243384078547</v>
      </c>
      <c r="L22">
        <v>207.27182236842111</v>
      </c>
      <c r="M22">
        <v>0.5061842105263169</v>
      </c>
      <c r="N22">
        <v>1.1559676226586751E-2</v>
      </c>
      <c r="O22">
        <v>2.1553097979360239E-2</v>
      </c>
      <c r="P22" s="1">
        <v>0.4382638888888889</v>
      </c>
      <c r="Q22" s="1">
        <v>0.43950231481481478</v>
      </c>
      <c r="R22">
        <v>8</v>
      </c>
      <c r="S22">
        <v>8</v>
      </c>
      <c r="T22">
        <v>74.236653978755115</v>
      </c>
      <c r="U22">
        <v>27.352593726402741</v>
      </c>
      <c r="V22">
        <v>53.546473684210532</v>
      </c>
      <c r="W22">
        <v>0.52223684210526289</v>
      </c>
      <c r="X22">
        <v>1.3797876142893069E-2</v>
      </c>
      <c r="Y22">
        <v>3.111030167563953E-2</v>
      </c>
      <c r="Z22" s="1">
        <v>0.43958333333333333</v>
      </c>
      <c r="AA22" s="1">
        <v>0.44097222222222221</v>
      </c>
      <c r="AB22">
        <v>85.463582544518417</v>
      </c>
      <c r="AC22">
        <v>39.707519647599028</v>
      </c>
      <c r="AD22">
        <v>60.209218390804601</v>
      </c>
      <c r="AE22">
        <v>0.48478160919540259</v>
      </c>
      <c r="AF22">
        <v>1.305303114977785E-2</v>
      </c>
      <c r="AG22">
        <v>2.9239764815075751E-2</v>
      </c>
      <c r="AH22" s="11">
        <v>0.44138888888888889</v>
      </c>
      <c r="AI22" s="1">
        <v>0.4425</v>
      </c>
      <c r="AJ22">
        <v>7</v>
      </c>
      <c r="AK22">
        <v>7</v>
      </c>
      <c r="AL22">
        <v>82.453088153396337</v>
      </c>
      <c r="AM22">
        <v>28.59538424291555</v>
      </c>
      <c r="AN22">
        <v>47.359314285714277</v>
      </c>
      <c r="AO22">
        <v>0.498285714285714</v>
      </c>
      <c r="AP22">
        <v>1.392349673133802E-2</v>
      </c>
      <c r="AQ22">
        <v>3.110712365057489E-2</v>
      </c>
      <c r="AR22" s="1">
        <v>0.4425115740740741</v>
      </c>
      <c r="AS22" s="1">
        <v>0.44374999999999998</v>
      </c>
      <c r="AT22">
        <v>81.893088326383051</v>
      </c>
      <c r="AU22">
        <v>23.845199692750139</v>
      </c>
      <c r="AV22">
        <v>51.897506172839513</v>
      </c>
      <c r="AW22">
        <v>0.52676543209876536</v>
      </c>
      <c r="AX22">
        <v>1.23161037201587E-2</v>
      </c>
      <c r="AY22">
        <v>2.7770692168137139E-2</v>
      </c>
      <c r="AZ22" s="10">
        <v>0.44374999999999998</v>
      </c>
      <c r="BA22" s="10">
        <v>0.4513888888888889</v>
      </c>
      <c r="BB22" t="s">
        <v>439</v>
      </c>
      <c r="BC22" t="s">
        <v>440</v>
      </c>
      <c r="BD22" t="s">
        <v>441</v>
      </c>
      <c r="BE22" t="s">
        <v>442</v>
      </c>
      <c r="BF22" t="s">
        <v>159</v>
      </c>
      <c r="BG22" t="s">
        <v>161</v>
      </c>
      <c r="BH22" t="s">
        <v>159</v>
      </c>
      <c r="BI22" t="s">
        <v>162</v>
      </c>
      <c r="BJ22" t="s">
        <v>441</v>
      </c>
      <c r="BK22" t="s">
        <v>162</v>
      </c>
      <c r="BL22" t="s">
        <v>443</v>
      </c>
      <c r="BM22" t="s">
        <v>162</v>
      </c>
      <c r="BN22" t="s">
        <v>444</v>
      </c>
      <c r="BO22" t="s">
        <v>162</v>
      </c>
      <c r="BP22" t="s">
        <v>445</v>
      </c>
      <c r="BQ22" t="s">
        <v>161</v>
      </c>
      <c r="BR22" t="s">
        <v>159</v>
      </c>
      <c r="BS22" t="s">
        <v>161</v>
      </c>
      <c r="BT22" t="s">
        <v>159</v>
      </c>
      <c r="BU22" t="s">
        <v>438</v>
      </c>
      <c r="BV22" t="s">
        <v>161</v>
      </c>
      <c r="BW22" t="s">
        <v>171</v>
      </c>
      <c r="BX22" t="s">
        <v>169</v>
      </c>
      <c r="BY22" t="s">
        <v>170</v>
      </c>
      <c r="BZ22" t="s">
        <v>169</v>
      </c>
      <c r="CA22" t="s">
        <v>172</v>
      </c>
      <c r="CB22" t="s">
        <v>169</v>
      </c>
      <c r="CC22" t="s">
        <v>171</v>
      </c>
      <c r="CD22" t="s">
        <v>170</v>
      </c>
      <c r="CE22" t="s">
        <v>170</v>
      </c>
      <c r="CF22" t="s">
        <v>169</v>
      </c>
      <c r="CH22" t="s">
        <v>170</v>
      </c>
      <c r="CI22" t="s">
        <v>171</v>
      </c>
      <c r="CJ22" t="s">
        <v>169</v>
      </c>
      <c r="CK22" t="s">
        <v>170</v>
      </c>
      <c r="CL22" t="s">
        <v>207</v>
      </c>
      <c r="CM22" t="s">
        <v>194</v>
      </c>
      <c r="CN22" t="s">
        <v>175</v>
      </c>
      <c r="CO22">
        <v>78.417092124586333</v>
      </c>
      <c r="CP22">
        <v>69.481069706930114</v>
      </c>
      <c r="CQ22">
        <v>327.88621951219511</v>
      </c>
      <c r="CR22">
        <v>0.5182073170731688</v>
      </c>
      <c r="CS22">
        <v>1.1420057671024461E-2</v>
      </c>
      <c r="CT22">
        <v>2.044438483027422E-2</v>
      </c>
    </row>
    <row r="23" spans="1:98">
      <c r="A23">
        <v>22</v>
      </c>
      <c r="B23" t="s">
        <v>99</v>
      </c>
      <c r="C23" t="s">
        <v>125</v>
      </c>
      <c r="D23">
        <v>25</v>
      </c>
      <c r="E23" t="s">
        <v>138</v>
      </c>
      <c r="F23" t="s">
        <v>287</v>
      </c>
      <c r="G23" s="1">
        <v>0.63670138888888894</v>
      </c>
      <c r="H23" s="1">
        <v>0.66041666666666665</v>
      </c>
      <c r="I23" s="1">
        <v>0.66180555555555554</v>
      </c>
      <c r="J23">
        <v>247.15600370505629</v>
      </c>
      <c r="K23">
        <v>350.5720115669784</v>
      </c>
      <c r="L23">
        <v>57.788886363636358</v>
      </c>
      <c r="M23">
        <v>0.50679545454545416</v>
      </c>
      <c r="N23">
        <v>1.7028917594650101E-2</v>
      </c>
      <c r="O23">
        <v>2.957042851884055E-2</v>
      </c>
      <c r="P23" s="1">
        <v>0.45363425925925932</v>
      </c>
      <c r="Q23" s="1">
        <v>0.45483796296296303</v>
      </c>
      <c r="R23">
        <v>8</v>
      </c>
      <c r="S23">
        <v>8</v>
      </c>
      <c r="T23">
        <v>56.026818691066303</v>
      </c>
      <c r="V23">
        <v>51.265126760563383</v>
      </c>
      <c r="W23">
        <v>0.47642253521126682</v>
      </c>
      <c r="X23">
        <v>2.4317554908545071E-2</v>
      </c>
      <c r="Y23">
        <v>3.7109313740037543E-2</v>
      </c>
      <c r="Z23" s="1">
        <v>0.4548611111111111</v>
      </c>
      <c r="AA23" s="1">
        <v>0.45624999999999999</v>
      </c>
      <c r="AB23">
        <v>249.0867119752568</v>
      </c>
      <c r="AC23">
        <v>303.47860989971929</v>
      </c>
      <c r="AD23">
        <v>59.700159090909089</v>
      </c>
      <c r="AE23">
        <v>0.49754545454545501</v>
      </c>
      <c r="AF23">
        <v>1.2284278061458081E-2</v>
      </c>
      <c r="AG23">
        <v>2.356226534941791E-2</v>
      </c>
      <c r="AH23" s="11">
        <v>0.45694444444444438</v>
      </c>
      <c r="AI23" s="1">
        <v>0.45826388888888892</v>
      </c>
      <c r="AJ23">
        <v>8</v>
      </c>
      <c r="AK23">
        <v>7</v>
      </c>
      <c r="AL23">
        <v>52.851726408085042</v>
      </c>
      <c r="AM23">
        <v>63.20910320892682</v>
      </c>
      <c r="AN23">
        <v>56.98698795180723</v>
      </c>
      <c r="AO23">
        <v>0.48474698795180682</v>
      </c>
      <c r="AP23">
        <v>1.48054224290615E-2</v>
      </c>
      <c r="AQ23">
        <v>2.7263418766908701E-2</v>
      </c>
      <c r="AR23" s="1">
        <v>0.45833333333333331</v>
      </c>
      <c r="AS23" s="1">
        <v>0.4597222222222222</v>
      </c>
      <c r="AT23">
        <v>230.51681066681479</v>
      </c>
      <c r="AU23">
        <v>326.00000000000051</v>
      </c>
      <c r="AV23">
        <v>58.40982795698924</v>
      </c>
      <c r="AW23">
        <v>0.48516129032258121</v>
      </c>
      <c r="AX23">
        <v>1.302863374228745E-2</v>
      </c>
      <c r="AY23">
        <v>2.367827029374546E-2</v>
      </c>
      <c r="AZ23" s="10">
        <v>0.4597222222222222</v>
      </c>
      <c r="BA23" s="10">
        <v>0.46111111111111108</v>
      </c>
      <c r="BB23" t="s">
        <v>195</v>
      </c>
      <c r="BC23" t="s">
        <v>446</v>
      </c>
      <c r="BD23" t="s">
        <v>447</v>
      </c>
      <c r="BE23" t="s">
        <v>178</v>
      </c>
      <c r="BF23" t="s">
        <v>159</v>
      </c>
      <c r="BG23" t="s">
        <v>178</v>
      </c>
      <c r="BH23" t="s">
        <v>159</v>
      </c>
      <c r="BI23" t="s">
        <v>178</v>
      </c>
      <c r="BJ23" t="s">
        <v>159</v>
      </c>
      <c r="BK23" t="s">
        <v>178</v>
      </c>
      <c r="BL23" t="s">
        <v>159</v>
      </c>
      <c r="BM23" t="s">
        <v>179</v>
      </c>
      <c r="BN23" t="s">
        <v>448</v>
      </c>
      <c r="BO23" t="s">
        <v>178</v>
      </c>
      <c r="BP23" t="s">
        <v>159</v>
      </c>
      <c r="BQ23" t="s">
        <v>178</v>
      </c>
      <c r="BR23" t="s">
        <v>159</v>
      </c>
      <c r="BS23" t="s">
        <v>178</v>
      </c>
      <c r="BT23" t="s">
        <v>159</v>
      </c>
      <c r="BU23" t="s">
        <v>350</v>
      </c>
      <c r="BV23" t="s">
        <v>178</v>
      </c>
      <c r="BW23" t="s">
        <v>169</v>
      </c>
      <c r="BX23" t="s">
        <v>172</v>
      </c>
      <c r="BY23" t="s">
        <v>172</v>
      </c>
      <c r="BZ23" t="s">
        <v>173</v>
      </c>
      <c r="CA23" t="s">
        <v>169</v>
      </c>
      <c r="CB23" t="s">
        <v>170</v>
      </c>
      <c r="CC23" t="s">
        <v>172</v>
      </c>
      <c r="CD23" t="s">
        <v>173</v>
      </c>
      <c r="CE23" t="s">
        <v>169</v>
      </c>
      <c r="CF23" t="s">
        <v>170</v>
      </c>
      <c r="CH23" t="s">
        <v>169</v>
      </c>
      <c r="CI23" t="s">
        <v>170</v>
      </c>
      <c r="CJ23" t="s">
        <v>171</v>
      </c>
      <c r="CK23" t="s">
        <v>170</v>
      </c>
      <c r="CL23" t="s">
        <v>208</v>
      </c>
      <c r="CM23" t="s">
        <v>174</v>
      </c>
      <c r="CN23" t="s">
        <v>194</v>
      </c>
      <c r="CO23">
        <v>57.399439275476389</v>
      </c>
      <c r="CP23">
        <v>70.704078147351197</v>
      </c>
      <c r="CQ23">
        <v>58.823517241379321</v>
      </c>
      <c r="CR23">
        <v>0.49735632183908057</v>
      </c>
      <c r="CS23">
        <v>1.3413797173620731E-2</v>
      </c>
      <c r="CT23">
        <v>2.5959163262014359E-2</v>
      </c>
    </row>
    <row r="24" spans="1:98">
      <c r="A24">
        <v>23</v>
      </c>
      <c r="B24" t="s">
        <v>99</v>
      </c>
      <c r="C24" t="s">
        <v>95</v>
      </c>
      <c r="D24">
        <v>25</v>
      </c>
      <c r="E24" t="s">
        <v>156</v>
      </c>
      <c r="F24" t="s">
        <v>299</v>
      </c>
      <c r="G24" s="1">
        <v>0.58777777777777773</v>
      </c>
      <c r="H24" s="1">
        <v>0.59930555555555554</v>
      </c>
      <c r="I24" s="1">
        <v>0.60069444444444442</v>
      </c>
      <c r="J24">
        <v>35.590499017421017</v>
      </c>
      <c r="K24">
        <v>18.769478770954841</v>
      </c>
      <c r="L24">
        <v>59.420607594936712</v>
      </c>
      <c r="M24">
        <v>0.50055696202531641</v>
      </c>
      <c r="N24">
        <v>2.1971678762601692E-2</v>
      </c>
      <c r="O24">
        <v>6.09501378408202E-2</v>
      </c>
      <c r="P24" s="1">
        <v>0.60150462962962958</v>
      </c>
      <c r="Q24" s="1">
        <v>0.60280092592592593</v>
      </c>
      <c r="R24">
        <v>8</v>
      </c>
      <c r="S24">
        <v>7</v>
      </c>
      <c r="T24">
        <v>48.228053629790352</v>
      </c>
      <c r="U24">
        <v>20.811089574439549</v>
      </c>
      <c r="V24">
        <v>55.226525000000002</v>
      </c>
      <c r="W24">
        <v>0.44899999999999929</v>
      </c>
      <c r="X24">
        <v>1.8388184427503611E-2</v>
      </c>
      <c r="Y24">
        <v>4.9750512588700897E-2</v>
      </c>
      <c r="Z24" s="1">
        <v>0.60281249999999997</v>
      </c>
      <c r="AA24" s="1">
        <v>0.60416666666666663</v>
      </c>
      <c r="AB24">
        <v>37.01218588048927</v>
      </c>
      <c r="AC24">
        <v>23.80632812386748</v>
      </c>
      <c r="AD24">
        <v>60.227448275862074</v>
      </c>
      <c r="AE24">
        <v>0.53680459770114952</v>
      </c>
      <c r="AF24">
        <v>1.6767307825061299E-2</v>
      </c>
      <c r="AG24">
        <v>4.4502891010680563E-2</v>
      </c>
      <c r="AH24" s="11">
        <v>0.60431712962962958</v>
      </c>
      <c r="AI24" s="1">
        <v>0.60553240740740744</v>
      </c>
      <c r="AJ24">
        <v>7</v>
      </c>
      <c r="AK24">
        <v>7</v>
      </c>
      <c r="AL24">
        <v>36.173711902718779</v>
      </c>
      <c r="AM24">
        <v>20.55808650227263</v>
      </c>
      <c r="AN24">
        <v>52.639760000000003</v>
      </c>
      <c r="AO24">
        <v>0.45157333333333222</v>
      </c>
      <c r="AP24">
        <v>1.69793504591912E-2</v>
      </c>
      <c r="AQ24">
        <v>4.5548830220958181E-2</v>
      </c>
      <c r="AR24" s="1">
        <v>0.60555555555555551</v>
      </c>
      <c r="AS24" s="1">
        <v>0.6069444444444444</v>
      </c>
      <c r="AT24">
        <v>36.50031656875985</v>
      </c>
      <c r="AU24">
        <v>20.915939139018231</v>
      </c>
      <c r="AV24">
        <v>59.834386363636369</v>
      </c>
      <c r="AW24">
        <v>0.46774999999999972</v>
      </c>
      <c r="AX24">
        <v>1.5762146305880811E-2</v>
      </c>
      <c r="AY24">
        <v>4.1525563767937562E-2</v>
      </c>
      <c r="AZ24" s="10">
        <v>0.6069444444444444</v>
      </c>
      <c r="BA24" s="10">
        <v>0.60902777777777772</v>
      </c>
      <c r="BB24" t="s">
        <v>151</v>
      </c>
      <c r="BC24" t="s">
        <v>151</v>
      </c>
      <c r="BD24" t="s">
        <v>151</v>
      </c>
      <c r="BE24" t="s">
        <v>151</v>
      </c>
      <c r="BF24" t="s">
        <v>151</v>
      </c>
      <c r="BG24" t="s">
        <v>151</v>
      </c>
      <c r="BH24" t="s">
        <v>151</v>
      </c>
      <c r="BI24" t="s">
        <v>131</v>
      </c>
      <c r="BJ24" t="s">
        <v>449</v>
      </c>
      <c r="BK24" t="s">
        <v>151</v>
      </c>
      <c r="BL24" t="s">
        <v>151</v>
      </c>
      <c r="BM24" t="s">
        <v>151</v>
      </c>
      <c r="BN24" t="s">
        <v>151</v>
      </c>
      <c r="BO24" t="s">
        <v>101</v>
      </c>
      <c r="BP24" t="s">
        <v>450</v>
      </c>
      <c r="BQ24" t="s">
        <v>151</v>
      </c>
      <c r="BR24" t="s">
        <v>151</v>
      </c>
      <c r="BS24" t="s">
        <v>151</v>
      </c>
      <c r="BT24" t="s">
        <v>151</v>
      </c>
      <c r="BU24" t="s">
        <v>279</v>
      </c>
      <c r="BV24" t="s">
        <v>151</v>
      </c>
      <c r="BW24" t="s">
        <v>123</v>
      </c>
      <c r="BX24" t="s">
        <v>123</v>
      </c>
      <c r="BY24" t="s">
        <v>123</v>
      </c>
      <c r="BZ24" t="s">
        <v>123</v>
      </c>
      <c r="CA24" t="s">
        <v>112</v>
      </c>
      <c r="CB24" t="s">
        <v>123</v>
      </c>
      <c r="CC24" t="s">
        <v>123</v>
      </c>
      <c r="CD24" t="s">
        <v>112</v>
      </c>
      <c r="CE24" t="s">
        <v>123</v>
      </c>
      <c r="CF24" t="s">
        <v>123</v>
      </c>
      <c r="CG24" t="s">
        <v>123</v>
      </c>
      <c r="CH24" t="s">
        <v>123</v>
      </c>
      <c r="CI24" t="s">
        <v>123</v>
      </c>
      <c r="CJ24" t="s">
        <v>123</v>
      </c>
      <c r="CK24" t="s">
        <v>123</v>
      </c>
      <c r="CL24" t="s">
        <v>117</v>
      </c>
      <c r="CM24" t="s">
        <v>116</v>
      </c>
      <c r="CN24" t="s">
        <v>116</v>
      </c>
      <c r="CO24">
        <v>30.563499409585411</v>
      </c>
      <c r="CP24">
        <v>22.488680280103171</v>
      </c>
      <c r="CQ24">
        <v>89.639333333333326</v>
      </c>
      <c r="CR24">
        <v>0.57708527131782927</v>
      </c>
      <c r="CS24">
        <v>1.6485620875109699E-2</v>
      </c>
      <c r="CT24">
        <v>4.0488210649966987E-2</v>
      </c>
    </row>
    <row r="25" spans="1:98">
      <c r="A25">
        <v>24</v>
      </c>
      <c r="B25" t="s">
        <v>99</v>
      </c>
      <c r="C25" t="s">
        <v>95</v>
      </c>
      <c r="D25">
        <v>27</v>
      </c>
      <c r="E25" t="s">
        <v>189</v>
      </c>
      <c r="F25" t="s">
        <v>304</v>
      </c>
      <c r="G25" s="1">
        <v>0.73119212962962965</v>
      </c>
      <c r="H25" s="1">
        <v>0.74791666666666667</v>
      </c>
      <c r="I25" s="1">
        <v>0.74930555555555556</v>
      </c>
      <c r="J25">
        <v>294.83300295879309</v>
      </c>
      <c r="K25">
        <v>409.34943695876962</v>
      </c>
      <c r="L25">
        <v>58.071811764705878</v>
      </c>
      <c r="M25">
        <v>0.49870588235294172</v>
      </c>
      <c r="N25">
        <v>1.343996825910007E-2</v>
      </c>
      <c r="O25">
        <v>2.512466705868522E-2</v>
      </c>
      <c r="P25" s="1">
        <v>0.74949074074074074</v>
      </c>
      <c r="Q25" s="1">
        <v>0.75072916666666667</v>
      </c>
      <c r="R25">
        <v>7</v>
      </c>
      <c r="S25">
        <v>7</v>
      </c>
      <c r="T25">
        <v>105.6660959725538</v>
      </c>
      <c r="U25">
        <v>135.01896807163979</v>
      </c>
      <c r="V25">
        <v>53.00992207792207</v>
      </c>
      <c r="W25">
        <v>0.51618181818181752</v>
      </c>
      <c r="X25">
        <v>1.6638147839077869E-2</v>
      </c>
      <c r="Y25">
        <v>2.9877575715825031E-2</v>
      </c>
      <c r="Z25" s="1">
        <v>0.75074074074074071</v>
      </c>
      <c r="AA25" s="1">
        <v>0.75208333333333333</v>
      </c>
      <c r="AB25">
        <v>68.684089635906943</v>
      </c>
      <c r="AC25">
        <v>66.74036951558567</v>
      </c>
      <c r="AD25">
        <v>57.236333333333327</v>
      </c>
      <c r="AE25">
        <v>0.5139333333333328</v>
      </c>
      <c r="AF25">
        <v>1.307212325411782E-2</v>
      </c>
      <c r="AG25">
        <v>2.435056136255687E-2</v>
      </c>
      <c r="AH25" s="11">
        <v>0.75223379629629628</v>
      </c>
      <c r="AI25" s="1">
        <v>0.7534953703703704</v>
      </c>
      <c r="AJ25">
        <v>6</v>
      </c>
      <c r="AK25">
        <v>6</v>
      </c>
      <c r="AL25">
        <v>25.227487986739241</v>
      </c>
      <c r="AN25">
        <v>54.390549999999998</v>
      </c>
      <c r="AO25">
        <v>0.45952500000000029</v>
      </c>
      <c r="AP25">
        <v>1.352311333367894E-2</v>
      </c>
      <c r="AQ25">
        <v>2.6148616025057778E-2</v>
      </c>
      <c r="AR25" s="1">
        <v>0.75350694444444444</v>
      </c>
      <c r="AS25" s="1">
        <v>0.75486111111111109</v>
      </c>
      <c r="AT25">
        <v>445.38330201556442</v>
      </c>
      <c r="AU25">
        <v>508.63477401111288</v>
      </c>
      <c r="AV25">
        <v>56.820168674698799</v>
      </c>
      <c r="AW25">
        <v>0.55086746987951818</v>
      </c>
      <c r="AX25">
        <v>1.429917392983735E-2</v>
      </c>
      <c r="AY25">
        <v>2.704998397641209E-2</v>
      </c>
      <c r="AZ25" s="10">
        <v>0.75486111111111109</v>
      </c>
      <c r="BA25" s="10">
        <v>0.76111111111111107</v>
      </c>
      <c r="BB25" t="s">
        <v>178</v>
      </c>
      <c r="BC25" t="s">
        <v>178</v>
      </c>
      <c r="BD25" t="s">
        <v>178</v>
      </c>
      <c r="BE25" t="s">
        <v>179</v>
      </c>
      <c r="BF25" t="s">
        <v>451</v>
      </c>
      <c r="BG25" t="s">
        <v>178</v>
      </c>
      <c r="BH25" t="s">
        <v>159</v>
      </c>
      <c r="BI25" t="s">
        <v>179</v>
      </c>
      <c r="BJ25" t="s">
        <v>452</v>
      </c>
      <c r="BK25" t="s">
        <v>179</v>
      </c>
      <c r="BL25" t="s">
        <v>453</v>
      </c>
      <c r="BM25" t="s">
        <v>179</v>
      </c>
      <c r="BN25" t="s">
        <v>454</v>
      </c>
      <c r="BO25" t="s">
        <v>178</v>
      </c>
      <c r="BP25" t="s">
        <v>159</v>
      </c>
      <c r="BQ25" t="s">
        <v>178</v>
      </c>
      <c r="BR25" t="s">
        <v>178</v>
      </c>
      <c r="BS25" t="s">
        <v>179</v>
      </c>
      <c r="BT25" t="s">
        <v>455</v>
      </c>
      <c r="BU25" t="s">
        <v>350</v>
      </c>
      <c r="BV25" t="s">
        <v>179</v>
      </c>
      <c r="BW25" t="s">
        <v>171</v>
      </c>
      <c r="BX25" t="s">
        <v>170</v>
      </c>
      <c r="BY25" t="s">
        <v>171</v>
      </c>
      <c r="BZ25" t="s">
        <v>169</v>
      </c>
      <c r="CA25" t="s">
        <v>171</v>
      </c>
      <c r="CB25" t="s">
        <v>170</v>
      </c>
      <c r="CC25" t="s">
        <v>169</v>
      </c>
      <c r="CD25" t="s">
        <v>171</v>
      </c>
      <c r="CE25" t="s">
        <v>171</v>
      </c>
      <c r="CF25" t="s">
        <v>170</v>
      </c>
      <c r="CH25" t="s">
        <v>171</v>
      </c>
      <c r="CI25" t="s">
        <v>170</v>
      </c>
      <c r="CJ25" t="s">
        <v>170</v>
      </c>
      <c r="CK25" t="s">
        <v>171</v>
      </c>
      <c r="CL25" t="s">
        <v>194</v>
      </c>
      <c r="CM25" t="s">
        <v>175</v>
      </c>
      <c r="CN25" t="s">
        <v>194</v>
      </c>
      <c r="CO25">
        <v>199.43148360782121</v>
      </c>
      <c r="CP25">
        <v>268.41826248666808</v>
      </c>
      <c r="CQ25">
        <v>269.25124489795922</v>
      </c>
      <c r="CR25">
        <v>0.49396938775510041</v>
      </c>
      <c r="CS25">
        <v>1.3560495567446309E-2</v>
      </c>
      <c r="CT25">
        <v>2.2133141431823041E-2</v>
      </c>
    </row>
    <row r="26" spans="1:98">
      <c r="A26">
        <v>25</v>
      </c>
      <c r="B26" t="s">
        <v>310</v>
      </c>
      <c r="C26" t="s">
        <v>125</v>
      </c>
      <c r="D26">
        <v>30</v>
      </c>
      <c r="E26" t="s">
        <v>334</v>
      </c>
      <c r="F26" t="s">
        <v>311</v>
      </c>
      <c r="G26" s="1">
        <v>0.43942129629629628</v>
      </c>
      <c r="H26" s="1">
        <v>0.45277777777777778</v>
      </c>
      <c r="I26" s="1">
        <v>0.45416666666666672</v>
      </c>
      <c r="J26">
        <v>163.24213652356471</v>
      </c>
      <c r="K26">
        <v>228.76282165471881</v>
      </c>
      <c r="L26">
        <v>57.954600000000013</v>
      </c>
      <c r="M26">
        <v>0.54879999999999962</v>
      </c>
      <c r="N26">
        <v>1.664761821904125E-2</v>
      </c>
      <c r="O26">
        <v>4.4412287186078488E-2</v>
      </c>
      <c r="P26" s="1">
        <v>0.45454861111111111</v>
      </c>
      <c r="Q26" s="1">
        <v>0.4558564814814815</v>
      </c>
      <c r="R26">
        <v>8</v>
      </c>
      <c r="S26">
        <v>8</v>
      </c>
      <c r="T26">
        <v>458.65535354264938</v>
      </c>
      <c r="V26">
        <v>56.854617283950617</v>
      </c>
      <c r="W26">
        <v>0.53987654320987699</v>
      </c>
      <c r="X26">
        <v>1.3740179148017451E-2</v>
      </c>
      <c r="Y26">
        <v>3.9781939541703719E-2</v>
      </c>
      <c r="Z26" s="1">
        <v>0.45586805555555548</v>
      </c>
      <c r="AA26" s="1">
        <v>0.45694444444444438</v>
      </c>
      <c r="AB26">
        <v>267.95517554540379</v>
      </c>
      <c r="AC26">
        <v>322.69165299496211</v>
      </c>
      <c r="AD26">
        <v>45.694030769230771</v>
      </c>
      <c r="AE26">
        <v>0.55156923076923159</v>
      </c>
      <c r="AF26">
        <v>1.636512583185231E-2</v>
      </c>
      <c r="AG26">
        <v>4.6962406959736698E-2</v>
      </c>
      <c r="AH26" s="11">
        <v>0.45695601851851853</v>
      </c>
      <c r="AI26" s="1">
        <v>0.45807870370370368</v>
      </c>
      <c r="AJ26">
        <v>6</v>
      </c>
      <c r="AK26">
        <v>6</v>
      </c>
      <c r="AL26">
        <v>387.24514054995132</v>
      </c>
      <c r="AM26">
        <v>586.28775642455025</v>
      </c>
      <c r="AN26">
        <v>48.571304347826079</v>
      </c>
      <c r="AO26">
        <v>0.48113043478260842</v>
      </c>
      <c r="AP26">
        <v>1.600974590961592E-2</v>
      </c>
      <c r="AQ26">
        <v>4.6322574190155529E-2</v>
      </c>
      <c r="AR26" s="1">
        <v>0.45833333333333331</v>
      </c>
      <c r="AS26" s="1">
        <v>0.4597222222222222</v>
      </c>
      <c r="AT26">
        <v>119.32782903325</v>
      </c>
      <c r="AU26">
        <v>167.67117111066429</v>
      </c>
      <c r="AV26">
        <v>58.717191489361703</v>
      </c>
      <c r="AW26">
        <v>0.49591489361702101</v>
      </c>
      <c r="AX26">
        <v>1.37825024594999E-2</v>
      </c>
      <c r="AY26">
        <v>3.6880696813504629E-2</v>
      </c>
      <c r="AZ26" s="10">
        <v>0.4597222222222222</v>
      </c>
      <c r="BA26" s="10">
        <v>0.46458333333333329</v>
      </c>
      <c r="BB26" t="s">
        <v>456</v>
      </c>
      <c r="BC26" t="s">
        <v>457</v>
      </c>
      <c r="BD26" t="s">
        <v>317</v>
      </c>
      <c r="BE26" t="s">
        <v>319</v>
      </c>
      <c r="BF26" t="s">
        <v>458</v>
      </c>
      <c r="BG26" t="s">
        <v>178</v>
      </c>
      <c r="BH26" t="s">
        <v>159</v>
      </c>
      <c r="BI26" t="s">
        <v>178</v>
      </c>
      <c r="BJ26" t="s">
        <v>159</v>
      </c>
      <c r="BK26" t="s">
        <v>459</v>
      </c>
      <c r="BL26" t="s">
        <v>159</v>
      </c>
      <c r="BM26" t="s">
        <v>178</v>
      </c>
      <c r="BN26" t="s">
        <v>159</v>
      </c>
      <c r="BO26" t="s">
        <v>319</v>
      </c>
      <c r="BP26" t="s">
        <v>159</v>
      </c>
      <c r="BQ26" t="s">
        <v>178</v>
      </c>
      <c r="BR26" t="s">
        <v>159</v>
      </c>
      <c r="BS26" t="s">
        <v>179</v>
      </c>
      <c r="BT26" t="s">
        <v>460</v>
      </c>
      <c r="BU26" t="s">
        <v>186</v>
      </c>
      <c r="BV26" t="s">
        <v>461</v>
      </c>
      <c r="BW26" t="s">
        <v>173</v>
      </c>
      <c r="BX26" t="s">
        <v>171</v>
      </c>
      <c r="BY26" t="s">
        <v>173</v>
      </c>
      <c r="BZ26" t="s">
        <v>170</v>
      </c>
      <c r="CA26" t="s">
        <v>173</v>
      </c>
      <c r="CB26" t="s">
        <v>169</v>
      </c>
      <c r="CC26" t="s">
        <v>170</v>
      </c>
      <c r="CD26" t="s">
        <v>173</v>
      </c>
      <c r="CE26" t="s">
        <v>171</v>
      </c>
      <c r="CF26" t="s">
        <v>173</v>
      </c>
      <c r="CG26" t="s">
        <v>169</v>
      </c>
      <c r="CH26" t="s">
        <v>170</v>
      </c>
      <c r="CI26" t="s">
        <v>172</v>
      </c>
      <c r="CJ26" t="s">
        <v>173</v>
      </c>
      <c r="CK26" t="s">
        <v>175</v>
      </c>
      <c r="CL26" t="s">
        <v>175</v>
      </c>
      <c r="CM26" t="s">
        <v>174</v>
      </c>
      <c r="CO26">
        <v>99.379156868746335</v>
      </c>
      <c r="CP26">
        <v>140.03634605994941</v>
      </c>
      <c r="CQ26">
        <v>210.54689632107019</v>
      </c>
      <c r="CR26">
        <v>0.54418729096990026</v>
      </c>
      <c r="CS26">
        <v>1.5236862687162629E-2</v>
      </c>
      <c r="CT26">
        <v>2.8093910218562869E-2</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T27"/>
  <sheetViews>
    <sheetView topLeftCell="P1" workbookViewId="0">
      <selection activeCell="P1" sqref="P1:S1"/>
    </sheetView>
  </sheetViews>
  <sheetFormatPr defaultRowHeight="14.25"/>
  <cols>
    <col min="5" max="5" width="17.25" customWidth="1"/>
    <col min="6" max="6" width="10.125" bestFit="1" customWidth="1"/>
    <col min="7" max="7" width="23.875" bestFit="1" customWidth="1"/>
    <col min="8" max="8" width="19" bestFit="1" customWidth="1"/>
    <col min="9" max="9" width="18.25" bestFit="1" customWidth="1"/>
    <col min="10" max="11" width="15.75" customWidth="1"/>
    <col min="12" max="12" width="16.25" bestFit="1" customWidth="1"/>
    <col min="13" max="13" width="24.625" bestFit="1" customWidth="1"/>
    <col min="14" max="14" width="20.625" bestFit="1" customWidth="1"/>
    <col min="15" max="15" width="25" bestFit="1" customWidth="1"/>
    <col min="16" max="16" width="13.875" bestFit="1" customWidth="1"/>
    <col min="17" max="17" width="13.25" bestFit="1" customWidth="1"/>
    <col min="18" max="18" width="12" bestFit="1" customWidth="1"/>
    <col min="19" max="19" width="18.375" bestFit="1" customWidth="1"/>
    <col min="20" max="20" width="13.25" bestFit="1" customWidth="1"/>
    <col min="21" max="21" width="13.25" customWidth="1"/>
    <col min="22" max="22" width="16.25" bestFit="1" customWidth="1"/>
    <col min="23" max="23" width="27.5" bestFit="1" customWidth="1"/>
    <col min="24" max="24" width="23" bestFit="1" customWidth="1"/>
    <col min="25" max="25" width="26" bestFit="1" customWidth="1"/>
    <col min="26" max="26" width="19" bestFit="1" customWidth="1"/>
    <col min="27" max="27" width="18.25" bestFit="1" customWidth="1"/>
    <col min="28" max="28" width="14.25" bestFit="1" customWidth="1"/>
    <col min="29" max="29" width="14.25" customWidth="1"/>
    <col min="30" max="30" width="23.625" customWidth="1"/>
    <col min="31" max="31" width="33.5" customWidth="1"/>
    <col min="32" max="32" width="23.875" bestFit="1" customWidth="1"/>
    <col min="33" max="33" width="26" bestFit="1" customWidth="1"/>
    <col min="34" max="34" width="13.875" bestFit="1" customWidth="1"/>
    <col min="35" max="35" width="13.25" bestFit="1" customWidth="1"/>
    <col min="36" max="36" width="12" bestFit="1" customWidth="1"/>
    <col min="37" max="37" width="18.5" bestFit="1" customWidth="1"/>
    <col min="38" max="38" width="14.25" bestFit="1" customWidth="1"/>
    <col min="39" max="39" width="14.25" customWidth="1"/>
    <col min="40" max="40" width="17.375" bestFit="1" customWidth="1"/>
    <col min="41" max="41" width="28.5" bestFit="1" customWidth="1"/>
    <col min="42" max="42" width="23.875" bestFit="1" customWidth="1"/>
    <col min="43" max="43" width="26" bestFit="1" customWidth="1"/>
    <col min="44" max="44" width="19" bestFit="1" customWidth="1"/>
    <col min="45" max="45" width="18.25" bestFit="1" customWidth="1"/>
    <col min="46" max="46" width="14.25" bestFit="1" customWidth="1"/>
    <col min="47" max="47" width="14.25" customWidth="1"/>
    <col min="48" max="48" width="17.375" bestFit="1" customWidth="1"/>
    <col min="49" max="49" width="28.5" bestFit="1" customWidth="1"/>
    <col min="50" max="50" width="23.875" bestFit="1" customWidth="1"/>
    <col min="51" max="51" width="26" bestFit="1" customWidth="1"/>
    <col min="52" max="52" width="12.625" customWidth="1"/>
    <col min="53" max="53" width="10.625" bestFit="1" customWidth="1"/>
    <col min="54" max="54" width="20" customWidth="1"/>
    <col min="56" max="56" width="39" customWidth="1"/>
    <col min="58" max="58" width="22.875" customWidth="1"/>
    <col min="62" max="62" width="15.125" customWidth="1"/>
    <col min="64" max="64" width="49.125" customWidth="1"/>
    <col min="68" max="68" width="19.875" customWidth="1"/>
    <col min="72" max="72" width="10.75" customWidth="1"/>
    <col min="98" max="98" width="26" bestFit="1" customWidth="1"/>
  </cols>
  <sheetData>
    <row r="1" spans="1:98" ht="114" customHeight="1">
      <c r="A1" t="s">
        <v>0</v>
      </c>
      <c r="B1" t="s">
        <v>1</v>
      </c>
      <c r="C1" t="s">
        <v>2</v>
      </c>
      <c r="D1" t="s">
        <v>3</v>
      </c>
      <c r="E1" t="s">
        <v>4</v>
      </c>
      <c r="F1" t="s">
        <v>5</v>
      </c>
      <c r="G1" t="s">
        <v>6</v>
      </c>
      <c r="H1" s="5" t="s">
        <v>462</v>
      </c>
      <c r="I1" s="5" t="s">
        <v>463</v>
      </c>
      <c r="J1" s="3" t="s">
        <v>9</v>
      </c>
      <c r="K1" s="3" t="s">
        <v>27</v>
      </c>
      <c r="L1" s="3" t="s">
        <v>11</v>
      </c>
      <c r="M1" s="3" t="s">
        <v>12</v>
      </c>
      <c r="N1" s="4" t="s">
        <v>13</v>
      </c>
      <c r="O1" s="4" t="s">
        <v>14</v>
      </c>
      <c r="P1" s="6" t="s">
        <v>464</v>
      </c>
      <c r="Q1" s="6" t="s">
        <v>465</v>
      </c>
      <c r="R1" t="s">
        <v>17</v>
      </c>
      <c r="S1" t="s">
        <v>18</v>
      </c>
      <c r="T1" s="3" t="s">
        <v>19</v>
      </c>
      <c r="U1" s="3" t="s">
        <v>27</v>
      </c>
      <c r="V1" s="3" t="s">
        <v>20</v>
      </c>
      <c r="W1" s="3" t="s">
        <v>21</v>
      </c>
      <c r="X1" s="4" t="s">
        <v>22</v>
      </c>
      <c r="Y1" s="4" t="s">
        <v>23</v>
      </c>
      <c r="Z1" s="5" t="s">
        <v>466</v>
      </c>
      <c r="AA1" s="5" t="s">
        <v>467</v>
      </c>
      <c r="AB1" s="3" t="s">
        <v>26</v>
      </c>
      <c r="AC1" s="3" t="s">
        <v>27</v>
      </c>
      <c r="AD1" s="3" t="s">
        <v>28</v>
      </c>
      <c r="AE1" s="3" t="s">
        <v>29</v>
      </c>
      <c r="AF1" s="4" t="s">
        <v>30</v>
      </c>
      <c r="AG1" s="4" t="s">
        <v>31</v>
      </c>
      <c r="AH1" s="6" t="s">
        <v>468</v>
      </c>
      <c r="AI1" s="6" t="s">
        <v>469</v>
      </c>
      <c r="AJ1" t="s">
        <v>34</v>
      </c>
      <c r="AK1" t="s">
        <v>35</v>
      </c>
      <c r="AL1" s="3" t="s">
        <v>36</v>
      </c>
      <c r="AM1" s="3" t="s">
        <v>27</v>
      </c>
      <c r="AN1" s="3" t="s">
        <v>37</v>
      </c>
      <c r="AO1" s="3" t="s">
        <v>329</v>
      </c>
      <c r="AP1" s="4" t="s">
        <v>39</v>
      </c>
      <c r="AQ1" s="4" t="s">
        <v>40</v>
      </c>
      <c r="AR1" s="5" t="s">
        <v>470</v>
      </c>
      <c r="AS1" s="5" t="s">
        <v>471</v>
      </c>
      <c r="AT1" s="3" t="s">
        <v>43</v>
      </c>
      <c r="AU1" s="3" t="s">
        <v>27</v>
      </c>
      <c r="AV1" s="3" t="s">
        <v>44</v>
      </c>
      <c r="AW1" s="3" t="s">
        <v>45</v>
      </c>
      <c r="AX1" s="4" t="s">
        <v>46</v>
      </c>
      <c r="AY1" s="4" t="s">
        <v>47</v>
      </c>
      <c r="AZ1" s="6" t="s">
        <v>472</v>
      </c>
      <c r="BA1" s="6" t="s">
        <v>473</v>
      </c>
      <c r="BB1" s="8" t="s">
        <v>50</v>
      </c>
      <c r="BC1" s="8" t="s">
        <v>51</v>
      </c>
      <c r="BD1" s="8" t="s">
        <v>52</v>
      </c>
      <c r="BE1" s="8" t="s">
        <v>53</v>
      </c>
      <c r="BF1" s="8" t="s">
        <v>54</v>
      </c>
      <c r="BG1" s="8" t="s">
        <v>55</v>
      </c>
      <c r="BH1" s="8" t="s">
        <v>56</v>
      </c>
      <c r="BI1" s="8" t="s">
        <v>57</v>
      </c>
      <c r="BJ1" s="8" t="s">
        <v>58</v>
      </c>
      <c r="BK1" s="8" t="s">
        <v>59</v>
      </c>
      <c r="BL1" s="8" t="s">
        <v>60</v>
      </c>
      <c r="BM1" s="8" t="s">
        <v>61</v>
      </c>
      <c r="BN1" s="8" t="s">
        <v>62</v>
      </c>
      <c r="BO1" s="8" t="s">
        <v>63</v>
      </c>
      <c r="BP1" s="8" t="s">
        <v>64</v>
      </c>
      <c r="BQ1" s="8" t="s">
        <v>65</v>
      </c>
      <c r="BR1" s="8" t="s">
        <v>66</v>
      </c>
      <c r="BS1" s="8" t="s">
        <v>67</v>
      </c>
      <c r="BT1" s="8" t="s">
        <v>68</v>
      </c>
      <c r="BU1" s="8" t="s">
        <v>69</v>
      </c>
      <c r="BV1" s="8" t="s">
        <v>70</v>
      </c>
      <c r="BW1" s="8" t="s">
        <v>71</v>
      </c>
      <c r="BX1" s="8" t="s">
        <v>72</v>
      </c>
      <c r="BY1" s="8" t="s">
        <v>73</v>
      </c>
      <c r="BZ1" s="8" t="s">
        <v>74</v>
      </c>
      <c r="CA1" s="8" t="s">
        <v>75</v>
      </c>
      <c r="CB1" s="8" t="s">
        <v>76</v>
      </c>
      <c r="CC1" s="8" t="s">
        <v>77</v>
      </c>
      <c r="CD1" s="8" t="s">
        <v>78</v>
      </c>
      <c r="CE1" s="8" t="s">
        <v>79</v>
      </c>
      <c r="CF1" s="8" t="s">
        <v>80</v>
      </c>
      <c r="CG1" s="8" t="s">
        <v>81</v>
      </c>
      <c r="CH1" s="8" t="s">
        <v>82</v>
      </c>
      <c r="CI1" s="8" t="s">
        <v>83</v>
      </c>
      <c r="CJ1" s="8" t="s">
        <v>84</v>
      </c>
      <c r="CK1" s="8" t="s">
        <v>85</v>
      </c>
      <c r="CL1" s="8" t="s">
        <v>86</v>
      </c>
      <c r="CM1" s="8" t="s">
        <v>87</v>
      </c>
      <c r="CN1" s="8" t="s">
        <v>88</v>
      </c>
      <c r="CO1" s="3" t="s">
        <v>89</v>
      </c>
      <c r="CP1" s="3" t="s">
        <v>27</v>
      </c>
      <c r="CQ1" s="3" t="s">
        <v>90</v>
      </c>
      <c r="CR1" s="3" t="s">
        <v>91</v>
      </c>
      <c r="CS1" s="4" t="s">
        <v>92</v>
      </c>
      <c r="CT1" s="4" t="s">
        <v>93</v>
      </c>
    </row>
    <row r="2" spans="1:98">
      <c r="A2">
        <v>1</v>
      </c>
      <c r="B2" t="s">
        <v>94</v>
      </c>
      <c r="C2" t="s">
        <v>95</v>
      </c>
      <c r="D2">
        <v>36</v>
      </c>
      <c r="E2" t="s">
        <v>138</v>
      </c>
      <c r="F2" t="s">
        <v>97</v>
      </c>
      <c r="G2" s="1">
        <v>0.59134259259259259</v>
      </c>
      <c r="H2" s="1">
        <v>0.62083333333333335</v>
      </c>
      <c r="I2" s="1">
        <v>0.62222222222222223</v>
      </c>
      <c r="J2">
        <v>86.40470053082656</v>
      </c>
      <c r="K2">
        <v>94.945275096541124</v>
      </c>
      <c r="L2">
        <v>60.225933333333337</v>
      </c>
      <c r="M2">
        <v>0.5272444444444454</v>
      </c>
      <c r="N2">
        <v>6.7778362774013881E-3</v>
      </c>
      <c r="O2">
        <v>1.6921793471236641E-2</v>
      </c>
      <c r="P2" s="1">
        <v>0.62361111111111112</v>
      </c>
      <c r="Q2" s="2">
        <v>0.62432870370370375</v>
      </c>
      <c r="R2">
        <v>7</v>
      </c>
      <c r="S2">
        <v>7</v>
      </c>
      <c r="T2">
        <v>29.822396091561529</v>
      </c>
      <c r="U2">
        <v>22.237355957937371</v>
      </c>
      <c r="V2">
        <v>30.727061224489791</v>
      </c>
      <c r="W2">
        <v>0.56420408163265312</v>
      </c>
      <c r="X2">
        <v>7.5486449753124837E-3</v>
      </c>
      <c r="Y2">
        <v>2.0264863540114541E-2</v>
      </c>
      <c r="Z2" s="1">
        <v>0.625</v>
      </c>
      <c r="AA2" s="1">
        <v>0.62638888888888888</v>
      </c>
      <c r="AB2">
        <v>42.659082891975658</v>
      </c>
      <c r="AC2">
        <v>21.19586082538358</v>
      </c>
      <c r="AD2">
        <v>59.381402298850567</v>
      </c>
      <c r="AE2">
        <v>0.51593103448275845</v>
      </c>
      <c r="AF2">
        <v>7.0209205974572928E-3</v>
      </c>
      <c r="AG2">
        <v>1.601170953795767E-2</v>
      </c>
      <c r="AH2" s="1">
        <v>0.62777777777777777</v>
      </c>
      <c r="AI2" s="2">
        <v>0.62771990740740746</v>
      </c>
      <c r="AJ2">
        <v>7</v>
      </c>
      <c r="AK2">
        <v>7</v>
      </c>
      <c r="AL2">
        <v>48.242863136865132</v>
      </c>
      <c r="AM2">
        <v>31.884080582551121</v>
      </c>
      <c r="AN2">
        <v>53.672602409638557</v>
      </c>
      <c r="AO2">
        <v>0.47650602409638521</v>
      </c>
      <c r="AP2">
        <v>7.4718167757934981E-3</v>
      </c>
      <c r="AQ2">
        <v>1.8023134275699199E-2</v>
      </c>
      <c r="AR2" s="1">
        <v>0.62777777777777777</v>
      </c>
      <c r="AS2" s="1">
        <v>0.62916666666666665</v>
      </c>
      <c r="AT2">
        <v>44.633477496252219</v>
      </c>
      <c r="AU2">
        <v>35.634181228068798</v>
      </c>
      <c r="AV2">
        <v>59.357793103448273</v>
      </c>
      <c r="AW2">
        <v>0.55588505747126404</v>
      </c>
      <c r="AX2">
        <v>7.7473265676464998E-3</v>
      </c>
      <c r="AY2">
        <v>1.842227768797745E-2</v>
      </c>
      <c r="AZ2" s="7">
        <v>0.62916666666666665</v>
      </c>
      <c r="BA2" s="7">
        <v>0.63263888888888886</v>
      </c>
      <c r="BB2" t="s">
        <v>98</v>
      </c>
      <c r="BC2" t="s">
        <v>98</v>
      </c>
      <c r="BD2" t="s">
        <v>98</v>
      </c>
      <c r="BE2" t="s">
        <v>98</v>
      </c>
      <c r="BF2" t="s">
        <v>98</v>
      </c>
      <c r="BG2" t="s">
        <v>98</v>
      </c>
      <c r="BH2" t="s">
        <v>98</v>
      </c>
      <c r="BI2" t="s">
        <v>98</v>
      </c>
      <c r="BJ2" t="s">
        <v>98</v>
      </c>
      <c r="BK2" t="s">
        <v>98</v>
      </c>
      <c r="BL2" t="s">
        <v>98</v>
      </c>
      <c r="BM2" t="s">
        <v>98</v>
      </c>
      <c r="BN2" t="s">
        <v>98</v>
      </c>
      <c r="BO2" t="s">
        <v>98</v>
      </c>
      <c r="BP2" t="s">
        <v>98</v>
      </c>
      <c r="BQ2" t="s">
        <v>98</v>
      </c>
      <c r="BR2" t="s">
        <v>98</v>
      </c>
      <c r="BS2" t="s">
        <v>98</v>
      </c>
      <c r="BT2" t="s">
        <v>98</v>
      </c>
      <c r="BU2" t="s">
        <v>98</v>
      </c>
      <c r="BV2" t="s">
        <v>98</v>
      </c>
      <c r="BW2" t="s">
        <v>98</v>
      </c>
      <c r="BX2" t="s">
        <v>98</v>
      </c>
      <c r="BY2" t="s">
        <v>98</v>
      </c>
      <c r="BZ2" t="s">
        <v>98</v>
      </c>
      <c r="CA2" t="s">
        <v>98</v>
      </c>
      <c r="CB2" t="s">
        <v>98</v>
      </c>
      <c r="CC2" t="s">
        <v>98</v>
      </c>
      <c r="CD2" t="s">
        <v>98</v>
      </c>
      <c r="CE2" t="s">
        <v>98</v>
      </c>
      <c r="CF2" t="s">
        <v>98</v>
      </c>
      <c r="CG2" t="s">
        <v>98</v>
      </c>
      <c r="CH2" t="s">
        <v>98</v>
      </c>
      <c r="CI2" t="s">
        <v>98</v>
      </c>
      <c r="CJ2" t="s">
        <v>98</v>
      </c>
      <c r="CK2" t="s">
        <v>98</v>
      </c>
      <c r="CL2" t="s">
        <v>98</v>
      </c>
      <c r="CM2" t="s">
        <v>98</v>
      </c>
      <c r="CN2" t="s">
        <v>98</v>
      </c>
      <c r="CO2">
        <v>46.93716462233796</v>
      </c>
      <c r="CP2">
        <v>54.711427140408411</v>
      </c>
      <c r="CQ2">
        <v>147.28497695852539</v>
      </c>
      <c r="CR2">
        <v>0.54750230414746681</v>
      </c>
      <c r="CS2">
        <v>6.2643024788233571E-3</v>
      </c>
      <c r="CT2">
        <v>1.344249554171406E-2</v>
      </c>
    </row>
    <row r="3" spans="1:98">
      <c r="A3">
        <v>2</v>
      </c>
      <c r="B3" t="s">
        <v>99</v>
      </c>
      <c r="C3" t="s">
        <v>95</v>
      </c>
      <c r="D3">
        <v>24</v>
      </c>
      <c r="E3" t="s">
        <v>156</v>
      </c>
      <c r="F3" t="s">
        <v>100</v>
      </c>
      <c r="G3" s="1">
        <v>0.4465277777777778</v>
      </c>
      <c r="H3" s="1">
        <v>0.47291666666666671</v>
      </c>
      <c r="I3" s="1">
        <v>0.47430555555555548</v>
      </c>
      <c r="J3">
        <v>162.77888166915369</v>
      </c>
      <c r="L3">
        <v>56.942442105263169</v>
      </c>
      <c r="M3">
        <v>0.42077894736842109</v>
      </c>
      <c r="N3">
        <v>8.0149064973691012E-3</v>
      </c>
      <c r="O3">
        <v>1.7337865013283469E-2</v>
      </c>
      <c r="P3" s="1">
        <v>0.47447916666666667</v>
      </c>
      <c r="Q3" s="1">
        <v>0.47555555555555562</v>
      </c>
      <c r="R3">
        <v>7</v>
      </c>
      <c r="S3">
        <v>7</v>
      </c>
      <c r="T3">
        <v>148.61720512083281</v>
      </c>
      <c r="U3">
        <v>123.2472622026542</v>
      </c>
      <c r="V3">
        <v>46.139304347826091</v>
      </c>
      <c r="W3">
        <v>0.48281159420289849</v>
      </c>
      <c r="X3">
        <v>9.0391431999781967E-3</v>
      </c>
      <c r="Y3">
        <v>2.2068818020677498E-2</v>
      </c>
      <c r="Z3" s="1">
        <v>0.47569444444444442</v>
      </c>
      <c r="AA3" s="1">
        <v>0.47708333333333341</v>
      </c>
      <c r="AB3">
        <v>148.03379667723701</v>
      </c>
      <c r="AC3">
        <v>101.665136600507</v>
      </c>
      <c r="AD3">
        <v>59.78120879120879</v>
      </c>
      <c r="AE3">
        <v>0.47709890109890191</v>
      </c>
      <c r="AF3">
        <v>8.4844611376320989E-3</v>
      </c>
      <c r="AG3">
        <v>1.882025997675181E-2</v>
      </c>
      <c r="AH3" s="1">
        <v>0.47728009259259258</v>
      </c>
      <c r="AI3" s="1">
        <v>0.47836805555555562</v>
      </c>
      <c r="AJ3">
        <v>7</v>
      </c>
      <c r="AK3">
        <v>7</v>
      </c>
      <c r="AL3">
        <v>97.520517265824509</v>
      </c>
      <c r="AM3">
        <v>65.222043004010715</v>
      </c>
      <c r="AN3">
        <v>45.641764705882352</v>
      </c>
      <c r="AO3">
        <v>0.43167647058823561</v>
      </c>
      <c r="AP3">
        <v>8.6323655962600877E-3</v>
      </c>
      <c r="AQ3">
        <v>2.073768229172732E-2</v>
      </c>
      <c r="AR3" s="1">
        <v>0.47847222222222219</v>
      </c>
      <c r="AS3" s="1">
        <v>0.47986111111111113</v>
      </c>
      <c r="AT3">
        <v>109.97928143501029</v>
      </c>
      <c r="AU3">
        <v>84.129364671319379</v>
      </c>
      <c r="AV3">
        <v>61.201333333333338</v>
      </c>
      <c r="AW3">
        <v>0.50232258064516122</v>
      </c>
      <c r="AX3">
        <v>7.6777022474125104E-3</v>
      </c>
      <c r="AY3">
        <v>1.7155713327834499E-2</v>
      </c>
      <c r="AZ3" s="7">
        <v>0.47986111111111113</v>
      </c>
      <c r="BA3" s="7">
        <v>0.48402777777777778</v>
      </c>
      <c r="BB3" t="s">
        <v>101</v>
      </c>
      <c r="BC3" t="s">
        <v>357</v>
      </c>
      <c r="BD3" t="s">
        <v>474</v>
      </c>
      <c r="BE3" t="s">
        <v>101</v>
      </c>
      <c r="BF3" t="s">
        <v>337</v>
      </c>
      <c r="BG3" t="s">
        <v>101</v>
      </c>
      <c r="BH3" t="s">
        <v>475</v>
      </c>
      <c r="BI3" t="s">
        <v>101</v>
      </c>
      <c r="BJ3" t="s">
        <v>476</v>
      </c>
      <c r="BK3" t="s">
        <v>101</v>
      </c>
      <c r="BL3" t="s">
        <v>143</v>
      </c>
      <c r="BM3" t="s">
        <v>101</v>
      </c>
      <c r="BN3" t="s">
        <v>477</v>
      </c>
      <c r="BO3" t="s">
        <v>101</v>
      </c>
      <c r="BP3" t="s">
        <v>478</v>
      </c>
      <c r="BQ3" t="s">
        <v>105</v>
      </c>
      <c r="BR3" t="s">
        <v>106</v>
      </c>
      <c r="BS3" t="s">
        <v>101</v>
      </c>
      <c r="BT3" t="s">
        <v>219</v>
      </c>
      <c r="BU3" t="s">
        <v>479</v>
      </c>
      <c r="BV3" t="s">
        <v>480</v>
      </c>
      <c r="BW3" t="s">
        <v>123</v>
      </c>
      <c r="BX3" t="s">
        <v>112</v>
      </c>
      <c r="BY3" t="s">
        <v>112</v>
      </c>
      <c r="BZ3" t="s">
        <v>123</v>
      </c>
      <c r="CA3" t="s">
        <v>111</v>
      </c>
      <c r="CB3" t="s">
        <v>123</v>
      </c>
      <c r="CC3" t="s">
        <v>123</v>
      </c>
      <c r="CD3" t="s">
        <v>111</v>
      </c>
      <c r="CE3" t="s">
        <v>111</v>
      </c>
      <c r="CF3" t="s">
        <v>123</v>
      </c>
      <c r="CG3" t="s">
        <v>123</v>
      </c>
      <c r="CH3" t="s">
        <v>123</v>
      </c>
      <c r="CI3" t="s">
        <v>112</v>
      </c>
      <c r="CJ3" t="s">
        <v>111</v>
      </c>
      <c r="CK3" t="s">
        <v>123</v>
      </c>
      <c r="CL3" t="s">
        <v>155</v>
      </c>
      <c r="CM3" t="s">
        <v>117</v>
      </c>
      <c r="CN3" t="s">
        <v>117</v>
      </c>
      <c r="CO3">
        <v>104.0844973899235</v>
      </c>
      <c r="CP3">
        <v>103.8914044232903</v>
      </c>
      <c r="CQ3">
        <v>178.9634980988593</v>
      </c>
      <c r="CR3">
        <v>0.44112547528517082</v>
      </c>
      <c r="CS3">
        <v>7.6173469066005669E-3</v>
      </c>
      <c r="CT3">
        <v>1.423077317512437E-2</v>
      </c>
    </row>
    <row r="4" spans="1:98">
      <c r="A4">
        <v>3</v>
      </c>
      <c r="B4" t="s">
        <v>118</v>
      </c>
      <c r="C4" t="s">
        <v>95</v>
      </c>
      <c r="D4">
        <v>21</v>
      </c>
      <c r="E4" t="s">
        <v>189</v>
      </c>
      <c r="F4" t="s">
        <v>100</v>
      </c>
      <c r="G4" s="1">
        <v>0.56918981481481479</v>
      </c>
      <c r="H4" s="1">
        <v>0.59861111111111109</v>
      </c>
      <c r="I4" s="1">
        <v>0.6</v>
      </c>
      <c r="J4">
        <v>176.49866751729149</v>
      </c>
      <c r="K4">
        <v>219.163080139431</v>
      </c>
      <c r="L4">
        <v>60.065880952380951</v>
      </c>
      <c r="M4">
        <v>0.50059523809523776</v>
      </c>
      <c r="N4">
        <v>8.9590032338268833E-3</v>
      </c>
      <c r="O4">
        <v>2.1588577561699029E-2</v>
      </c>
      <c r="P4" s="1">
        <v>0.60025462962962961</v>
      </c>
      <c r="Q4" s="1">
        <v>0.60135416666666663</v>
      </c>
      <c r="R4">
        <v>7</v>
      </c>
      <c r="S4">
        <v>7</v>
      </c>
      <c r="T4">
        <v>108.8016855299272</v>
      </c>
      <c r="U4">
        <v>135.6296310744695</v>
      </c>
      <c r="V4">
        <v>47.330457142857142</v>
      </c>
      <c r="W4">
        <v>0.5215999999999994</v>
      </c>
      <c r="X4">
        <v>8.0558866098290292E-3</v>
      </c>
      <c r="Y4">
        <v>2.2752381145879449E-2</v>
      </c>
      <c r="Z4" s="1">
        <v>0.60138888888888886</v>
      </c>
      <c r="AA4" s="1">
        <v>0.60277777777777775</v>
      </c>
      <c r="AB4">
        <v>285.3430932376462</v>
      </c>
      <c r="AC4">
        <v>382.93104720809282</v>
      </c>
      <c r="AD4">
        <v>59.578044444444451</v>
      </c>
      <c r="AE4">
        <v>0.54693333333333349</v>
      </c>
      <c r="AF4">
        <v>8.4081206716993869E-3</v>
      </c>
      <c r="AG4">
        <v>2.1239927542645611E-2</v>
      </c>
      <c r="AH4" s="1">
        <v>0.60295138888888888</v>
      </c>
      <c r="AI4" s="1">
        <v>0.60414351851851855</v>
      </c>
      <c r="AJ4">
        <v>7</v>
      </c>
      <c r="AK4">
        <v>6</v>
      </c>
      <c r="AL4">
        <v>176.00677706613271</v>
      </c>
      <c r="AM4">
        <v>227.02370956770619</v>
      </c>
      <c r="AN4">
        <v>50.601769230769229</v>
      </c>
      <c r="AO4">
        <v>0.50346153846153907</v>
      </c>
      <c r="AP4">
        <v>8.4565147839241166E-3</v>
      </c>
      <c r="AQ4">
        <v>2.2737362915943641E-2</v>
      </c>
      <c r="AR4" s="1">
        <v>0.60416666666666663</v>
      </c>
      <c r="AS4" s="1">
        <v>0.60555555555555551</v>
      </c>
      <c r="AT4">
        <v>193.79629988199801</v>
      </c>
      <c r="AU4">
        <v>307.48550101319069</v>
      </c>
      <c r="AV4">
        <v>57.467954022988501</v>
      </c>
      <c r="AW4">
        <v>0.4834712643678164</v>
      </c>
      <c r="AX4">
        <v>8.4802852585005445E-3</v>
      </c>
      <c r="AY4">
        <v>2.219996831013063E-2</v>
      </c>
      <c r="AZ4" s="7">
        <v>0.60555555555555551</v>
      </c>
      <c r="BA4" s="7">
        <v>0.6069444444444444</v>
      </c>
      <c r="BB4" t="s">
        <v>105</v>
      </c>
      <c r="BC4" t="s">
        <v>106</v>
      </c>
      <c r="BD4" t="s">
        <v>106</v>
      </c>
      <c r="BE4" t="s">
        <v>105</v>
      </c>
      <c r="BF4" t="s">
        <v>106</v>
      </c>
      <c r="BG4" t="s">
        <v>105</v>
      </c>
      <c r="BH4" t="s">
        <v>106</v>
      </c>
      <c r="BI4" t="s">
        <v>101</v>
      </c>
      <c r="BJ4" t="s">
        <v>120</v>
      </c>
      <c r="BK4" t="s">
        <v>105</v>
      </c>
      <c r="BL4" t="s">
        <v>106</v>
      </c>
      <c r="BM4" t="s">
        <v>105</v>
      </c>
      <c r="BN4" t="s">
        <v>106</v>
      </c>
      <c r="BO4" t="s">
        <v>105</v>
      </c>
      <c r="BP4" t="s">
        <v>106</v>
      </c>
      <c r="BQ4" t="s">
        <v>105</v>
      </c>
      <c r="BR4" t="s">
        <v>106</v>
      </c>
      <c r="BS4" t="s">
        <v>105</v>
      </c>
      <c r="BT4" t="s">
        <v>106</v>
      </c>
      <c r="BU4" t="s">
        <v>122</v>
      </c>
      <c r="BV4" t="s">
        <v>105</v>
      </c>
      <c r="BW4" t="s">
        <v>123</v>
      </c>
      <c r="BX4" t="s">
        <v>112</v>
      </c>
      <c r="BY4" t="s">
        <v>123</v>
      </c>
      <c r="BZ4" t="s">
        <v>111</v>
      </c>
      <c r="CA4" t="s">
        <v>111</v>
      </c>
      <c r="CB4" t="s">
        <v>112</v>
      </c>
      <c r="CC4" t="s">
        <v>123</v>
      </c>
      <c r="CD4" t="s">
        <v>123</v>
      </c>
      <c r="CE4" t="s">
        <v>111</v>
      </c>
      <c r="CF4" t="s">
        <v>123</v>
      </c>
      <c r="CG4" t="s">
        <v>123</v>
      </c>
      <c r="CH4" t="s">
        <v>111</v>
      </c>
      <c r="CI4" t="s">
        <v>112</v>
      </c>
      <c r="CJ4" t="s">
        <v>112</v>
      </c>
      <c r="CK4" t="s">
        <v>111</v>
      </c>
      <c r="CL4" t="s">
        <v>117</v>
      </c>
      <c r="CM4" t="s">
        <v>116</v>
      </c>
      <c r="CN4" t="s">
        <v>124</v>
      </c>
      <c r="CO4">
        <v>249.625468591252</v>
      </c>
      <c r="CP4">
        <v>328.64640138430968</v>
      </c>
      <c r="CQ4">
        <v>59.868901098901098</v>
      </c>
      <c r="CR4">
        <v>0.51545054945054969</v>
      </c>
      <c r="CS4">
        <v>8.3707230623436858E-3</v>
      </c>
      <c r="CT4">
        <v>2.2013191285302231E-2</v>
      </c>
    </row>
    <row r="5" spans="1:98">
      <c r="A5">
        <v>4</v>
      </c>
      <c r="B5" t="s">
        <v>99</v>
      </c>
      <c r="C5" t="s">
        <v>125</v>
      </c>
      <c r="D5">
        <v>28</v>
      </c>
      <c r="E5" t="s">
        <v>138</v>
      </c>
      <c r="F5" t="s">
        <v>127</v>
      </c>
      <c r="G5" s="1">
        <v>0.46399305555555548</v>
      </c>
      <c r="H5" s="1">
        <v>0.48888888888888887</v>
      </c>
      <c r="I5" s="1">
        <v>0.49027777777777781</v>
      </c>
      <c r="J5">
        <v>180.0585684250978</v>
      </c>
      <c r="K5">
        <v>259.1345413608849</v>
      </c>
      <c r="L5">
        <v>58.219662337662342</v>
      </c>
      <c r="M5">
        <v>0.54815584415584317</v>
      </c>
      <c r="N5">
        <v>1.574823901683154E-2</v>
      </c>
      <c r="O5">
        <v>4.8339407875661752E-2</v>
      </c>
      <c r="P5" s="1">
        <v>0.49046296296296299</v>
      </c>
      <c r="Q5" s="1">
        <v>0.49166666666666659</v>
      </c>
      <c r="R5">
        <v>8</v>
      </c>
      <c r="S5">
        <v>8</v>
      </c>
      <c r="T5">
        <v>114.6488530857428</v>
      </c>
      <c r="U5">
        <v>141.70200936987209</v>
      </c>
      <c r="V5">
        <v>52.074058823529398</v>
      </c>
      <c r="W5">
        <v>0.45223529411764751</v>
      </c>
      <c r="X5">
        <v>1.707828496721045E-2</v>
      </c>
      <c r="Y5">
        <v>5.3252064211633747E-2</v>
      </c>
      <c r="Z5" s="1">
        <v>0.49167824074074068</v>
      </c>
      <c r="AA5" s="1">
        <v>0.49305555555555558</v>
      </c>
      <c r="AB5">
        <v>141.71927515368961</v>
      </c>
      <c r="AC5">
        <v>191.8889853953315</v>
      </c>
      <c r="AD5">
        <v>58.198623376623402</v>
      </c>
      <c r="AE5">
        <v>0.5383116883116883</v>
      </c>
      <c r="AF5">
        <v>1.621522538168917E-2</v>
      </c>
      <c r="AG5">
        <v>4.8691683665713317E-2</v>
      </c>
      <c r="AH5" s="1">
        <v>0.4932523148148148</v>
      </c>
      <c r="AI5" s="1">
        <v>0.49429398148148151</v>
      </c>
      <c r="AJ5">
        <v>6</v>
      </c>
      <c r="AK5">
        <v>6</v>
      </c>
      <c r="AL5">
        <v>507.2716474561708</v>
      </c>
      <c r="AN5">
        <v>44.991612903225807</v>
      </c>
      <c r="AO5">
        <v>0.47993548387096802</v>
      </c>
      <c r="AP5">
        <v>1.7164537045888769E-2</v>
      </c>
      <c r="AQ5">
        <v>5.6511735014415677E-2</v>
      </c>
      <c r="AR5" s="1">
        <v>0.49444444444444452</v>
      </c>
      <c r="AS5" s="1">
        <v>0.49583333333333329</v>
      </c>
      <c r="AT5">
        <v>184.31818764543249</v>
      </c>
      <c r="AU5">
        <v>245.85121906919309</v>
      </c>
      <c r="AV5">
        <v>57.965971830985929</v>
      </c>
      <c r="AW5">
        <v>0.51836619718309784</v>
      </c>
      <c r="AX5">
        <v>1.6438348580490581E-2</v>
      </c>
      <c r="AY5">
        <v>5.1687245950140168E-2</v>
      </c>
      <c r="AZ5" s="7">
        <v>0.49583333333333329</v>
      </c>
      <c r="BA5" s="7">
        <v>0.5</v>
      </c>
      <c r="BB5" t="s">
        <v>128</v>
      </c>
      <c r="BC5" t="s">
        <v>129</v>
      </c>
      <c r="BD5" t="s">
        <v>481</v>
      </c>
      <c r="BE5" t="s">
        <v>131</v>
      </c>
      <c r="BF5" t="s">
        <v>482</v>
      </c>
      <c r="BG5" t="s">
        <v>133</v>
      </c>
      <c r="BH5" t="s">
        <v>129</v>
      </c>
      <c r="BI5" t="s">
        <v>133</v>
      </c>
      <c r="BJ5" t="s">
        <v>129</v>
      </c>
      <c r="BK5" t="s">
        <v>133</v>
      </c>
      <c r="BL5" t="s">
        <v>129</v>
      </c>
      <c r="BM5" t="s">
        <v>133</v>
      </c>
      <c r="BN5" t="s">
        <v>129</v>
      </c>
      <c r="BO5" t="s">
        <v>131</v>
      </c>
      <c r="BP5" t="s">
        <v>483</v>
      </c>
      <c r="BQ5" t="s">
        <v>133</v>
      </c>
      <c r="BR5" t="s">
        <v>129</v>
      </c>
      <c r="BS5" t="s">
        <v>133</v>
      </c>
      <c r="BT5" t="s">
        <v>129</v>
      </c>
      <c r="BU5" t="s">
        <v>216</v>
      </c>
      <c r="BV5" t="s">
        <v>484</v>
      </c>
      <c r="BW5" t="s">
        <v>123</v>
      </c>
      <c r="BX5" t="s">
        <v>123</v>
      </c>
      <c r="BY5" t="s">
        <v>111</v>
      </c>
      <c r="BZ5" t="s">
        <v>111</v>
      </c>
      <c r="CA5" t="s">
        <v>111</v>
      </c>
      <c r="CB5" t="s">
        <v>123</v>
      </c>
      <c r="CC5" t="s">
        <v>112</v>
      </c>
      <c r="CD5" t="s">
        <v>123</v>
      </c>
      <c r="CE5" t="s">
        <v>111</v>
      </c>
      <c r="CF5" t="s">
        <v>123</v>
      </c>
      <c r="CG5" t="s">
        <v>123</v>
      </c>
      <c r="CH5" t="s">
        <v>111</v>
      </c>
      <c r="CI5" t="s">
        <v>112</v>
      </c>
      <c r="CJ5" t="s">
        <v>123</v>
      </c>
      <c r="CK5" t="s">
        <v>123</v>
      </c>
      <c r="CL5" t="s">
        <v>116</v>
      </c>
      <c r="CM5" t="s">
        <v>117</v>
      </c>
      <c r="CN5" t="s">
        <v>155</v>
      </c>
      <c r="CO5">
        <v>422.25693039107989</v>
      </c>
      <c r="CP5">
        <v>540.8473541260189</v>
      </c>
      <c r="CQ5">
        <v>177.561792207792</v>
      </c>
      <c r="CR5">
        <v>0.53467532467532453</v>
      </c>
      <c r="CS5">
        <v>1.253460243119517E-2</v>
      </c>
      <c r="CT5">
        <v>2.7211270847882579E-2</v>
      </c>
    </row>
    <row r="6" spans="1:98">
      <c r="A6">
        <v>5</v>
      </c>
      <c r="B6" t="s">
        <v>137</v>
      </c>
      <c r="C6" t="s">
        <v>125</v>
      </c>
      <c r="D6">
        <v>41</v>
      </c>
      <c r="E6" t="s">
        <v>156</v>
      </c>
      <c r="F6" t="s">
        <v>127</v>
      </c>
      <c r="G6" s="1">
        <v>0.56997685185185187</v>
      </c>
      <c r="H6" s="1">
        <v>0.59027777777777779</v>
      </c>
      <c r="I6" s="1">
        <v>0.59166666666666667</v>
      </c>
      <c r="J6">
        <v>31.397449401401971</v>
      </c>
      <c r="K6">
        <v>10.081108198752689</v>
      </c>
      <c r="L6">
        <v>59.722850574712638</v>
      </c>
      <c r="M6">
        <v>0.51119540229885108</v>
      </c>
      <c r="N6">
        <v>6.401551072693341E-3</v>
      </c>
      <c r="O6">
        <v>1.8587706791572279E-2</v>
      </c>
      <c r="P6" s="1">
        <v>0.59167824074074071</v>
      </c>
      <c r="Q6" s="1">
        <v>0.59280092592592593</v>
      </c>
      <c r="R6">
        <v>6</v>
      </c>
      <c r="S6">
        <v>5</v>
      </c>
      <c r="T6">
        <v>23.84424992434376</v>
      </c>
      <c r="U6">
        <v>12.41121333957755</v>
      </c>
      <c r="V6">
        <v>56.722048780487803</v>
      </c>
      <c r="W6">
        <v>0.49580487804878132</v>
      </c>
      <c r="X6">
        <v>6.7611774473294566E-3</v>
      </c>
      <c r="Y6">
        <v>1.985763979882002E-2</v>
      </c>
      <c r="Z6" s="1">
        <v>0.59281249999999996</v>
      </c>
      <c r="AA6" s="11">
        <v>0.59412037037037035</v>
      </c>
      <c r="AB6">
        <v>45.83366100873161</v>
      </c>
      <c r="AC6">
        <v>12.304887500917991</v>
      </c>
      <c r="AD6">
        <v>57.058902439024394</v>
      </c>
      <c r="AE6">
        <v>0.47560975609756118</v>
      </c>
      <c r="AF6">
        <v>6.421176845324914E-3</v>
      </c>
      <c r="AG6">
        <v>1.9894527589313721E-2</v>
      </c>
      <c r="AH6" s="1">
        <v>0.59413194444444439</v>
      </c>
      <c r="AI6" s="1">
        <v>0.59488425925925925</v>
      </c>
      <c r="AJ6">
        <v>5</v>
      </c>
      <c r="AK6">
        <v>4</v>
      </c>
      <c r="AL6">
        <v>61.755986257292157</v>
      </c>
      <c r="AM6">
        <v>59.125444453452509</v>
      </c>
      <c r="AN6">
        <v>31.81108</v>
      </c>
      <c r="AO6">
        <v>0.47803999999999969</v>
      </c>
      <c r="AP6">
        <v>7.3553592966860704E-3</v>
      </c>
      <c r="AQ6">
        <v>2.572684682355526E-2</v>
      </c>
      <c r="AR6" s="1">
        <v>0.59489583333333329</v>
      </c>
      <c r="AS6" s="1">
        <v>0.59627314814814814</v>
      </c>
      <c r="AT6">
        <v>28.638846634272412</v>
      </c>
      <c r="AU6">
        <v>10.30966326445715</v>
      </c>
      <c r="AV6">
        <v>60.394068181818177</v>
      </c>
      <c r="AW6">
        <v>0.47352272727272771</v>
      </c>
      <c r="AX6">
        <v>6.3352432993460332E-3</v>
      </c>
      <c r="AY6">
        <v>2.0016138449554299E-2</v>
      </c>
      <c r="AZ6" s="7">
        <v>0.59583333333333333</v>
      </c>
      <c r="BA6" s="7">
        <v>0.59930555555555554</v>
      </c>
      <c r="BB6" t="s">
        <v>281</v>
      </c>
      <c r="BC6" t="s">
        <v>106</v>
      </c>
      <c r="BD6" t="s">
        <v>485</v>
      </c>
      <c r="BE6" t="s">
        <v>101</v>
      </c>
      <c r="BF6" t="s">
        <v>486</v>
      </c>
      <c r="BG6" t="s">
        <v>105</v>
      </c>
      <c r="BH6" t="s">
        <v>106</v>
      </c>
      <c r="BI6" t="s">
        <v>101</v>
      </c>
      <c r="BJ6" t="s">
        <v>487</v>
      </c>
      <c r="BK6" t="s">
        <v>105</v>
      </c>
      <c r="BL6" t="s">
        <v>106</v>
      </c>
      <c r="BM6" t="s">
        <v>105</v>
      </c>
      <c r="BN6" t="s">
        <v>106</v>
      </c>
      <c r="BO6" t="s">
        <v>101</v>
      </c>
      <c r="BP6" t="s">
        <v>144</v>
      </c>
      <c r="BQ6" t="s">
        <v>101</v>
      </c>
      <c r="BR6" t="s">
        <v>488</v>
      </c>
      <c r="BS6" t="s">
        <v>101</v>
      </c>
      <c r="BT6" t="s">
        <v>489</v>
      </c>
      <c r="BU6" t="s">
        <v>279</v>
      </c>
      <c r="BV6" t="s">
        <v>392</v>
      </c>
      <c r="BW6" t="s">
        <v>112</v>
      </c>
      <c r="BX6" t="s">
        <v>111</v>
      </c>
      <c r="BY6" t="s">
        <v>111</v>
      </c>
      <c r="BZ6" t="s">
        <v>111</v>
      </c>
      <c r="CA6" t="s">
        <v>114</v>
      </c>
      <c r="CB6" t="s">
        <v>111</v>
      </c>
      <c r="CC6" t="s">
        <v>112</v>
      </c>
      <c r="CD6" t="s">
        <v>112</v>
      </c>
      <c r="CE6" t="s">
        <v>114</v>
      </c>
      <c r="CF6" t="s">
        <v>111</v>
      </c>
      <c r="CG6" t="s">
        <v>112</v>
      </c>
      <c r="CH6" t="s">
        <v>114</v>
      </c>
      <c r="CI6" t="s">
        <v>111</v>
      </c>
      <c r="CJ6" t="s">
        <v>111</v>
      </c>
      <c r="CK6" t="s">
        <v>112</v>
      </c>
      <c r="CL6" t="s">
        <v>155</v>
      </c>
      <c r="CM6" t="s">
        <v>116</v>
      </c>
      <c r="CN6" t="s">
        <v>124</v>
      </c>
      <c r="CO6">
        <v>25.185951063100951</v>
      </c>
      <c r="CP6">
        <v>10.728183567217741</v>
      </c>
      <c r="CQ6">
        <v>127.97910752688171</v>
      </c>
      <c r="CR6">
        <v>0.53146236559139837</v>
      </c>
      <c r="CS6">
        <v>5.7699224866006767E-3</v>
      </c>
      <c r="CT6">
        <v>1.6231671642424381E-2</v>
      </c>
    </row>
    <row r="7" spans="1:98">
      <c r="A7">
        <v>6</v>
      </c>
      <c r="B7" t="s">
        <v>149</v>
      </c>
      <c r="C7" t="s">
        <v>95</v>
      </c>
      <c r="D7">
        <v>28</v>
      </c>
      <c r="E7" t="s">
        <v>756</v>
      </c>
      <c r="F7" t="s">
        <v>127</v>
      </c>
      <c r="G7" s="1">
        <v>0.63626157407407402</v>
      </c>
      <c r="H7" s="1">
        <v>0.65416666666666667</v>
      </c>
      <c r="I7" s="1">
        <v>0.65555555555555556</v>
      </c>
      <c r="J7">
        <v>86.223648796945909</v>
      </c>
      <c r="K7">
        <v>89.207295219997476</v>
      </c>
      <c r="L7">
        <v>75.620574074074085</v>
      </c>
      <c r="M7">
        <v>0.50637037037036958</v>
      </c>
      <c r="N7">
        <v>7.3959031297144307E-3</v>
      </c>
      <c r="O7">
        <v>1.2322917192153379E-2</v>
      </c>
      <c r="P7" s="1">
        <v>0.65583333333333338</v>
      </c>
      <c r="Q7" s="1">
        <v>0.65755787037037039</v>
      </c>
      <c r="R7">
        <v>7</v>
      </c>
      <c r="S7">
        <v>7</v>
      </c>
      <c r="T7">
        <v>94.036132951225852</v>
      </c>
      <c r="U7">
        <v>101.8476500476322</v>
      </c>
      <c r="V7">
        <v>75.468054054054051</v>
      </c>
      <c r="W7">
        <v>0.50043243243243318</v>
      </c>
      <c r="X7">
        <v>3.6399017896676261E-3</v>
      </c>
      <c r="Y7">
        <v>6.927625849724413E-3</v>
      </c>
      <c r="Z7" s="1">
        <v>0.65756944444444443</v>
      </c>
      <c r="AA7" s="1">
        <v>0.65848379629629628</v>
      </c>
      <c r="AB7">
        <v>448.30569927227123</v>
      </c>
      <c r="AC7">
        <v>634.00000000000011</v>
      </c>
      <c r="AD7">
        <v>40.389288135593219</v>
      </c>
      <c r="AE7">
        <v>0.49600000000000027</v>
      </c>
      <c r="AF7">
        <v>7.2881411919065954E-3</v>
      </c>
      <c r="AG7">
        <v>1.147139990235805E-2</v>
      </c>
      <c r="AH7" s="1">
        <v>0.65849537037037043</v>
      </c>
      <c r="AI7" s="1">
        <v>0.65952546296296299</v>
      </c>
      <c r="AJ7">
        <v>6</v>
      </c>
      <c r="AK7">
        <v>5</v>
      </c>
      <c r="AL7">
        <v>121.6158663488325</v>
      </c>
      <c r="AM7">
        <v>146.28765911012681</v>
      </c>
      <c r="AN7">
        <v>43.379882352941173</v>
      </c>
      <c r="AO7">
        <v>0.5549705882352941</v>
      </c>
      <c r="AP7">
        <v>3.3108237820418341E-3</v>
      </c>
      <c r="AQ7">
        <v>6.638940264186953E-3</v>
      </c>
      <c r="AR7" s="1">
        <v>0.65953703703703703</v>
      </c>
      <c r="AS7" s="1">
        <v>0.66091435185185188</v>
      </c>
      <c r="AT7">
        <v>83.63315984916909</v>
      </c>
      <c r="AU7">
        <v>78.007950300451682</v>
      </c>
      <c r="AV7">
        <v>59.328311111111113</v>
      </c>
      <c r="AW7">
        <v>0.53062222222222288</v>
      </c>
      <c r="AX7">
        <v>4.1068295675310189E-3</v>
      </c>
      <c r="AY7">
        <v>7.7818486663162514E-3</v>
      </c>
      <c r="AZ7" s="7">
        <v>0.66041666666666665</v>
      </c>
      <c r="BA7" s="7">
        <v>0.66180555555555554</v>
      </c>
      <c r="BB7" t="s">
        <v>133</v>
      </c>
      <c r="BC7" t="s">
        <v>129</v>
      </c>
      <c r="BD7" t="s">
        <v>490</v>
      </c>
      <c r="BE7" t="s">
        <v>129</v>
      </c>
      <c r="BF7" t="s">
        <v>129</v>
      </c>
      <c r="BG7" t="s">
        <v>133</v>
      </c>
      <c r="BH7" t="s">
        <v>129</v>
      </c>
      <c r="BI7" t="s">
        <v>133</v>
      </c>
      <c r="BJ7" t="s">
        <v>129</v>
      </c>
      <c r="BK7" t="s">
        <v>133</v>
      </c>
      <c r="BL7" t="s">
        <v>129</v>
      </c>
      <c r="BM7" t="s">
        <v>133</v>
      </c>
      <c r="BN7" t="s">
        <v>129</v>
      </c>
      <c r="BO7" t="s">
        <v>133</v>
      </c>
      <c r="BP7" t="s">
        <v>129</v>
      </c>
      <c r="BQ7" t="s">
        <v>133</v>
      </c>
      <c r="BR7" t="s">
        <v>129</v>
      </c>
      <c r="BS7" t="s">
        <v>133</v>
      </c>
      <c r="BT7" t="s">
        <v>129</v>
      </c>
      <c r="BU7" t="s">
        <v>491</v>
      </c>
      <c r="BV7" t="s">
        <v>133</v>
      </c>
      <c r="BW7" t="s">
        <v>111</v>
      </c>
      <c r="BX7" t="s">
        <v>123</v>
      </c>
      <c r="BY7" t="s">
        <v>123</v>
      </c>
      <c r="BZ7" t="s">
        <v>111</v>
      </c>
      <c r="CA7" t="s">
        <v>113</v>
      </c>
      <c r="CB7" t="s">
        <v>123</v>
      </c>
      <c r="CC7" t="s">
        <v>112</v>
      </c>
      <c r="CD7" t="s">
        <v>112</v>
      </c>
      <c r="CE7" t="s">
        <v>113</v>
      </c>
      <c r="CF7" t="s">
        <v>112</v>
      </c>
      <c r="CG7" t="s">
        <v>111</v>
      </c>
      <c r="CH7" t="s">
        <v>111</v>
      </c>
      <c r="CI7" t="s">
        <v>112</v>
      </c>
      <c r="CJ7" t="s">
        <v>112</v>
      </c>
      <c r="CK7" t="s">
        <v>113</v>
      </c>
      <c r="CL7" t="s">
        <v>115</v>
      </c>
      <c r="CM7" t="s">
        <v>116</v>
      </c>
      <c r="CN7" t="s">
        <v>117</v>
      </c>
      <c r="CO7">
        <v>385.81706475894453</v>
      </c>
      <c r="CP7">
        <v>471.40562315108463</v>
      </c>
      <c r="CQ7">
        <v>37.238714285714288</v>
      </c>
      <c r="CR7">
        <v>0.55296428571428602</v>
      </c>
      <c r="CS7">
        <v>4.5156002016285427E-3</v>
      </c>
      <c r="CT7">
        <v>9.0486222777213608E-3</v>
      </c>
    </row>
    <row r="8" spans="1:98">
      <c r="A8">
        <v>7</v>
      </c>
      <c r="B8" t="s">
        <v>137</v>
      </c>
      <c r="C8" t="s">
        <v>95</v>
      </c>
      <c r="D8">
        <v>27</v>
      </c>
      <c r="E8" t="s">
        <v>189</v>
      </c>
      <c r="F8" t="s">
        <v>157</v>
      </c>
      <c r="G8" s="1">
        <v>0.45996527777777779</v>
      </c>
      <c r="H8" s="1">
        <v>0.49166666666666659</v>
      </c>
      <c r="I8" s="1">
        <v>0.49305555555555558</v>
      </c>
      <c r="J8">
        <v>63.800847933105977</v>
      </c>
      <c r="K8">
        <v>30.73058402188671</v>
      </c>
      <c r="L8">
        <v>57.878549450549457</v>
      </c>
      <c r="M8">
        <v>0.47096703296703341</v>
      </c>
      <c r="N8">
        <v>8.2371160476452012E-3</v>
      </c>
      <c r="O8">
        <v>2.153273209773823E-2</v>
      </c>
      <c r="P8" s="1">
        <v>0.49365740740740738</v>
      </c>
      <c r="Q8" s="1">
        <v>0.49473379629629632</v>
      </c>
      <c r="R8">
        <v>7</v>
      </c>
      <c r="S8">
        <v>7</v>
      </c>
      <c r="T8">
        <v>53.40029907586608</v>
      </c>
      <c r="U8">
        <v>29.992306705861441</v>
      </c>
      <c r="V8">
        <v>46.114769230769227</v>
      </c>
      <c r="W8">
        <v>0.47209230769230731</v>
      </c>
      <c r="X8">
        <v>1.211713647287206E-2</v>
      </c>
      <c r="Y8">
        <v>3.3662169535172523E-2</v>
      </c>
      <c r="Z8" s="1">
        <v>0.49474537037037042</v>
      </c>
      <c r="AA8" s="1">
        <v>0.49600694444444438</v>
      </c>
      <c r="AB8">
        <v>74.478974981438384</v>
      </c>
      <c r="AC8">
        <v>46.070554587502102</v>
      </c>
      <c r="AD8">
        <v>55.04834567901235</v>
      </c>
      <c r="AE8">
        <v>0.53785185185185158</v>
      </c>
      <c r="AF8">
        <v>8.0848003624217173E-3</v>
      </c>
      <c r="AG8">
        <v>2.3345201072402118E-2</v>
      </c>
      <c r="AH8" s="1">
        <v>0.49601851851851853</v>
      </c>
      <c r="AI8" s="1">
        <v>0.49664351851851851</v>
      </c>
      <c r="AJ8">
        <v>5</v>
      </c>
      <c r="AK8">
        <v>4</v>
      </c>
      <c r="AL8">
        <v>0</v>
      </c>
      <c r="AN8">
        <v>26.422256410256409</v>
      </c>
      <c r="AO8">
        <v>0.59348717948717911</v>
      </c>
      <c r="AP8">
        <v>1.207806493957196E-2</v>
      </c>
      <c r="AQ8">
        <v>3.731113894345698E-2</v>
      </c>
      <c r="AR8" s="1">
        <v>0.49665509259259261</v>
      </c>
      <c r="AS8" s="1">
        <v>0.49791666666666667</v>
      </c>
      <c r="AT8">
        <v>137.20290379953221</v>
      </c>
      <c r="AU8">
        <v>159.02151590173281</v>
      </c>
      <c r="AV8">
        <v>53.052363636363637</v>
      </c>
      <c r="AW8">
        <v>0.47259740259740229</v>
      </c>
      <c r="AX8">
        <v>8.6621002497227189E-3</v>
      </c>
      <c r="AY8">
        <v>2.2821420611620711E-2</v>
      </c>
      <c r="AZ8" s="7">
        <v>0.49791666666666667</v>
      </c>
      <c r="BA8" s="7">
        <v>0.50069444444444444</v>
      </c>
      <c r="BB8" t="s">
        <v>161</v>
      </c>
      <c r="BC8" t="s">
        <v>159</v>
      </c>
      <c r="BD8" t="s">
        <v>159</v>
      </c>
      <c r="BE8" t="s">
        <v>161</v>
      </c>
      <c r="BF8" t="s">
        <v>159</v>
      </c>
      <c r="BG8" t="s">
        <v>161</v>
      </c>
      <c r="BH8" t="s">
        <v>159</v>
      </c>
      <c r="BI8" t="s">
        <v>162</v>
      </c>
      <c r="BJ8" t="s">
        <v>492</v>
      </c>
      <c r="BK8" t="s">
        <v>162</v>
      </c>
      <c r="BL8" t="s">
        <v>493</v>
      </c>
      <c r="BM8" t="s">
        <v>161</v>
      </c>
      <c r="BN8" t="s">
        <v>159</v>
      </c>
      <c r="BO8" t="s">
        <v>162</v>
      </c>
      <c r="BP8" t="s">
        <v>494</v>
      </c>
      <c r="BQ8" t="s">
        <v>162</v>
      </c>
      <c r="BR8" t="s">
        <v>495</v>
      </c>
      <c r="BS8" t="s">
        <v>162</v>
      </c>
      <c r="BT8" t="s">
        <v>496</v>
      </c>
      <c r="BU8" t="s">
        <v>235</v>
      </c>
      <c r="BV8" t="s">
        <v>161</v>
      </c>
      <c r="BW8" t="s">
        <v>171</v>
      </c>
      <c r="BX8" t="s">
        <v>170</v>
      </c>
      <c r="BY8" t="s">
        <v>170</v>
      </c>
      <c r="BZ8" t="s">
        <v>171</v>
      </c>
      <c r="CA8" t="s">
        <v>173</v>
      </c>
      <c r="CB8" t="s">
        <v>172</v>
      </c>
      <c r="CC8" t="s">
        <v>170</v>
      </c>
      <c r="CD8" t="s">
        <v>169</v>
      </c>
      <c r="CE8" t="s">
        <v>171</v>
      </c>
      <c r="CF8" t="s">
        <v>172</v>
      </c>
      <c r="CH8" t="s">
        <v>171</v>
      </c>
      <c r="CI8" t="s">
        <v>170</v>
      </c>
      <c r="CJ8" t="s">
        <v>172</v>
      </c>
      <c r="CK8" t="s">
        <v>169</v>
      </c>
      <c r="CL8" t="s">
        <v>174</v>
      </c>
      <c r="CM8" t="s">
        <v>175</v>
      </c>
      <c r="CN8" t="s">
        <v>175</v>
      </c>
      <c r="CO8">
        <v>313.98968845636199</v>
      </c>
      <c r="CP8">
        <v>424.76351043962649</v>
      </c>
      <c r="CQ8">
        <v>117.4445917159763</v>
      </c>
      <c r="CR8">
        <v>0.57564497041420093</v>
      </c>
      <c r="CS8">
        <v>1.3285399380845419E-2</v>
      </c>
      <c r="CT8">
        <v>2.9261151634215679E-2</v>
      </c>
    </row>
    <row r="9" spans="1:98">
      <c r="A9">
        <v>8</v>
      </c>
      <c r="B9" t="s">
        <v>137</v>
      </c>
      <c r="C9" t="s">
        <v>125</v>
      </c>
      <c r="D9">
        <v>24</v>
      </c>
      <c r="E9" t="s">
        <v>156</v>
      </c>
      <c r="F9" t="s">
        <v>157</v>
      </c>
      <c r="G9" s="1">
        <v>0.58518518518518514</v>
      </c>
      <c r="H9" s="1">
        <v>0.6069444444444444</v>
      </c>
      <c r="I9" s="1">
        <v>0.60833333333333328</v>
      </c>
      <c r="J9">
        <v>45.229984653225671</v>
      </c>
      <c r="K9">
        <v>51.389607118027932</v>
      </c>
      <c r="L9">
        <v>56.686659090909082</v>
      </c>
      <c r="M9">
        <v>0.49297727272727332</v>
      </c>
      <c r="N9">
        <v>1.199364000481656E-2</v>
      </c>
      <c r="O9">
        <v>2.2607569587157601E-2</v>
      </c>
      <c r="P9" s="1">
        <v>0.60875000000000001</v>
      </c>
      <c r="Q9" s="1">
        <v>0.60988425925925926</v>
      </c>
      <c r="R9">
        <v>7</v>
      </c>
      <c r="S9">
        <v>6</v>
      </c>
      <c r="T9">
        <v>53.445191466570982</v>
      </c>
      <c r="U9">
        <v>50.701843389337867</v>
      </c>
      <c r="V9">
        <v>48.128621621621619</v>
      </c>
      <c r="W9">
        <v>0.47243243243243271</v>
      </c>
      <c r="X9">
        <v>1.057035953063918E-2</v>
      </c>
      <c r="Y9">
        <v>2.140911489458077E-2</v>
      </c>
      <c r="Z9" s="1">
        <v>0.6098958333333333</v>
      </c>
      <c r="AA9" s="1">
        <v>0.61111111111111116</v>
      </c>
      <c r="AB9">
        <v>56.806908696230273</v>
      </c>
      <c r="AC9">
        <v>60.363080542142967</v>
      </c>
      <c r="AD9">
        <v>51.752184210526309</v>
      </c>
      <c r="AE9">
        <v>0.47863157894736841</v>
      </c>
      <c r="AF9">
        <v>1.7467438873812701E-2</v>
      </c>
      <c r="AG9">
        <v>2.8791618347903541E-2</v>
      </c>
      <c r="AH9" s="1">
        <v>0.61128472222222219</v>
      </c>
      <c r="AI9" s="1">
        <v>0.61245370370370367</v>
      </c>
      <c r="AJ9">
        <v>6</v>
      </c>
      <c r="AK9">
        <v>5</v>
      </c>
      <c r="AL9">
        <v>42.08958809327634</v>
      </c>
      <c r="AM9">
        <v>46.934744369258468</v>
      </c>
      <c r="AN9">
        <v>50.137917808219179</v>
      </c>
      <c r="AO9">
        <v>0.44153424657534179</v>
      </c>
      <c r="AP9">
        <v>1.1669947327726801E-2</v>
      </c>
      <c r="AQ9">
        <v>2.330446480362763E-2</v>
      </c>
      <c r="AR9" s="1">
        <v>0.61250000000000004</v>
      </c>
      <c r="AS9" s="1">
        <v>0.61388888888888893</v>
      </c>
      <c r="AT9">
        <v>53.659167074975379</v>
      </c>
      <c r="AU9">
        <v>59.732110292538579</v>
      </c>
      <c r="AV9">
        <v>60.023518987341767</v>
      </c>
      <c r="AW9">
        <v>0.46192405063291098</v>
      </c>
      <c r="AX9">
        <v>2.054042934124771E-2</v>
      </c>
      <c r="AY9">
        <v>3.2595275970045613E-2</v>
      </c>
      <c r="AZ9" s="7">
        <v>0.61388888888888893</v>
      </c>
      <c r="BA9" s="7">
        <v>0.6166666666666667</v>
      </c>
      <c r="BB9" t="s">
        <v>179</v>
      </c>
      <c r="BC9" t="s">
        <v>497</v>
      </c>
      <c r="BD9" t="s">
        <v>498</v>
      </c>
      <c r="BE9" t="s">
        <v>178</v>
      </c>
      <c r="BF9" t="s">
        <v>159</v>
      </c>
      <c r="BG9" t="s">
        <v>178</v>
      </c>
      <c r="BH9" t="s">
        <v>159</v>
      </c>
      <c r="BI9" t="s">
        <v>179</v>
      </c>
      <c r="BJ9" t="s">
        <v>499</v>
      </c>
      <c r="BK9" t="s">
        <v>179</v>
      </c>
      <c r="BL9" t="s">
        <v>500</v>
      </c>
      <c r="BM9" t="s">
        <v>179</v>
      </c>
      <c r="BN9" t="s">
        <v>501</v>
      </c>
      <c r="BO9" t="s">
        <v>179</v>
      </c>
      <c r="BP9" t="s">
        <v>502</v>
      </c>
      <c r="BQ9" t="s">
        <v>178</v>
      </c>
      <c r="BR9" t="s">
        <v>159</v>
      </c>
      <c r="BS9" t="s">
        <v>179</v>
      </c>
      <c r="BT9" t="s">
        <v>503</v>
      </c>
      <c r="BU9" t="s">
        <v>186</v>
      </c>
      <c r="BV9" t="s">
        <v>504</v>
      </c>
      <c r="BW9" t="s">
        <v>170</v>
      </c>
      <c r="BX9" t="s">
        <v>171</v>
      </c>
      <c r="BY9" t="s">
        <v>171</v>
      </c>
      <c r="BZ9" t="s">
        <v>172</v>
      </c>
      <c r="CA9" t="s">
        <v>172</v>
      </c>
      <c r="CB9" t="s">
        <v>173</v>
      </c>
      <c r="CC9" t="s">
        <v>171</v>
      </c>
      <c r="CD9" t="s">
        <v>170</v>
      </c>
      <c r="CE9" t="s">
        <v>170</v>
      </c>
      <c r="CF9" t="s">
        <v>171</v>
      </c>
      <c r="CH9" t="s">
        <v>170</v>
      </c>
      <c r="CI9" t="s">
        <v>173</v>
      </c>
      <c r="CJ9" t="s">
        <v>171</v>
      </c>
      <c r="CK9" t="s">
        <v>172</v>
      </c>
      <c r="CL9" t="s">
        <v>174</v>
      </c>
      <c r="CM9" t="s">
        <v>175</v>
      </c>
      <c r="CN9" t="s">
        <v>175</v>
      </c>
      <c r="CO9">
        <v>43.499158499026912</v>
      </c>
      <c r="CP9">
        <v>46.557279204369337</v>
      </c>
      <c r="CQ9">
        <v>118.55469318181819</v>
      </c>
      <c r="CR9">
        <v>0.51144318181818171</v>
      </c>
      <c r="CS9">
        <v>1.1034132019454289E-2</v>
      </c>
      <c r="CT9">
        <v>2.0085253842303939E-2</v>
      </c>
    </row>
    <row r="10" spans="1:98">
      <c r="A10">
        <v>9</v>
      </c>
      <c r="B10" t="s">
        <v>188</v>
      </c>
      <c r="C10" t="s">
        <v>95</v>
      </c>
      <c r="D10">
        <v>32</v>
      </c>
      <c r="E10" t="s">
        <v>119</v>
      </c>
      <c r="F10" t="s">
        <v>190</v>
      </c>
      <c r="G10" s="1">
        <v>0.38465277777777779</v>
      </c>
      <c r="H10" s="1">
        <v>0.41111111111111109</v>
      </c>
      <c r="I10" s="1">
        <v>0.41249999999999998</v>
      </c>
      <c r="J10">
        <v>133.46355489782809</v>
      </c>
      <c r="K10">
        <v>168.36409217070999</v>
      </c>
      <c r="L10">
        <v>58.816837209302321</v>
      </c>
      <c r="M10">
        <v>0.48560465116279178</v>
      </c>
      <c r="N10">
        <v>9.4259358042262653E-3</v>
      </c>
      <c r="O10">
        <v>1.8022059832193141E-2</v>
      </c>
      <c r="P10" s="1">
        <v>0.41268518518518521</v>
      </c>
      <c r="Q10" s="1">
        <v>0.41388888888888892</v>
      </c>
      <c r="R10">
        <v>8</v>
      </c>
      <c r="S10">
        <v>8</v>
      </c>
      <c r="T10">
        <v>106.9222494516317</v>
      </c>
      <c r="U10">
        <v>121.69253248974741</v>
      </c>
      <c r="V10">
        <v>49.966200000000001</v>
      </c>
      <c r="W10">
        <v>0.56242500000000029</v>
      </c>
      <c r="X10">
        <v>1.0535623134383649E-2</v>
      </c>
      <c r="Y10">
        <v>1.9875131644161031E-2</v>
      </c>
      <c r="Z10" s="1">
        <v>0.41390046296296301</v>
      </c>
      <c r="AA10" s="1">
        <v>0.4152777777777778</v>
      </c>
      <c r="AB10">
        <v>118.49321292561009</v>
      </c>
      <c r="AC10">
        <v>141.64931451259059</v>
      </c>
      <c r="AD10">
        <v>58.348090909090907</v>
      </c>
      <c r="AE10">
        <v>0.45672727272727232</v>
      </c>
      <c r="AF10">
        <v>1.1528427137123589E-2</v>
      </c>
      <c r="AG10">
        <v>2.203372500899229E-2</v>
      </c>
      <c r="AH10" s="1">
        <v>0.41548611111111111</v>
      </c>
      <c r="AI10" s="1">
        <v>0.41667824074074072</v>
      </c>
      <c r="AJ10">
        <v>8</v>
      </c>
      <c r="AK10">
        <v>8</v>
      </c>
      <c r="AL10">
        <v>124.2448597938175</v>
      </c>
      <c r="AM10">
        <v>152.09314884611439</v>
      </c>
      <c r="AN10">
        <v>50.888025974025979</v>
      </c>
      <c r="AO10">
        <v>0.51657142857142913</v>
      </c>
      <c r="AP10">
        <v>8.9692088276918033E-3</v>
      </c>
      <c r="AQ10">
        <v>1.7426335741698228E-2</v>
      </c>
      <c r="AR10" s="1">
        <v>0.41668981481481482</v>
      </c>
      <c r="AS10" s="1">
        <v>0.41806712962962961</v>
      </c>
      <c r="AT10">
        <v>158.5455499590386</v>
      </c>
      <c r="AU10">
        <v>198.40349808395081</v>
      </c>
      <c r="AV10">
        <v>59.862939759036138</v>
      </c>
      <c r="AW10">
        <v>0.53438554216867451</v>
      </c>
      <c r="AX10">
        <v>1.05302670275551E-2</v>
      </c>
      <c r="AY10">
        <v>1.992351648784893E-2</v>
      </c>
      <c r="AZ10" s="7">
        <v>0.41805555555555562</v>
      </c>
      <c r="BA10" s="7">
        <v>0.42083333333333328</v>
      </c>
      <c r="BB10" t="s">
        <v>128</v>
      </c>
      <c r="BC10" t="s">
        <v>159</v>
      </c>
      <c r="BD10" t="s">
        <v>505</v>
      </c>
      <c r="BE10" t="s">
        <v>178</v>
      </c>
      <c r="BF10" t="s">
        <v>159</v>
      </c>
      <c r="BG10" t="s">
        <v>178</v>
      </c>
      <c r="BH10" t="s">
        <v>159</v>
      </c>
      <c r="BI10" t="s">
        <v>178</v>
      </c>
      <c r="BJ10" t="s">
        <v>159</v>
      </c>
      <c r="BK10" t="s">
        <v>179</v>
      </c>
      <c r="BL10" t="s">
        <v>506</v>
      </c>
      <c r="BM10" t="s">
        <v>178</v>
      </c>
      <c r="BN10" t="s">
        <v>159</v>
      </c>
      <c r="BO10" t="s">
        <v>179</v>
      </c>
      <c r="BP10" t="s">
        <v>507</v>
      </c>
      <c r="BQ10" t="s">
        <v>178</v>
      </c>
      <c r="BR10" t="s">
        <v>159</v>
      </c>
      <c r="BS10" t="s">
        <v>179</v>
      </c>
      <c r="BT10" t="s">
        <v>508</v>
      </c>
      <c r="BU10" t="s">
        <v>402</v>
      </c>
      <c r="BV10" t="s">
        <v>508</v>
      </c>
      <c r="BW10" t="s">
        <v>171</v>
      </c>
      <c r="BX10" t="s">
        <v>172</v>
      </c>
      <c r="BY10" t="s">
        <v>170</v>
      </c>
      <c r="BZ10" t="s">
        <v>170</v>
      </c>
      <c r="CA10" t="s">
        <v>170</v>
      </c>
      <c r="CB10" t="s">
        <v>171</v>
      </c>
      <c r="CC10" t="s">
        <v>170</v>
      </c>
      <c r="CD10" t="s">
        <v>171</v>
      </c>
      <c r="CE10" t="s">
        <v>170</v>
      </c>
      <c r="CF10" t="s">
        <v>170</v>
      </c>
      <c r="CH10" t="s">
        <v>169</v>
      </c>
      <c r="CI10" t="s">
        <v>171</v>
      </c>
      <c r="CJ10" t="s">
        <v>170</v>
      </c>
      <c r="CK10" t="s">
        <v>171</v>
      </c>
      <c r="CL10" t="s">
        <v>208</v>
      </c>
      <c r="CM10" t="s">
        <v>175</v>
      </c>
      <c r="CN10" t="s">
        <v>175</v>
      </c>
      <c r="CO10">
        <v>120.227164558231</v>
      </c>
      <c r="CP10">
        <v>155.92906533972939</v>
      </c>
      <c r="CQ10">
        <v>117.70211363636361</v>
      </c>
      <c r="CR10">
        <v>0.51500000000000079</v>
      </c>
      <c r="CS10">
        <v>1.0968566470766151E-2</v>
      </c>
      <c r="CT10">
        <v>1.968099204144455E-2</v>
      </c>
    </row>
    <row r="11" spans="1:98">
      <c r="A11">
        <v>10</v>
      </c>
      <c r="B11" t="s">
        <v>137</v>
      </c>
      <c r="C11" t="s">
        <v>95</v>
      </c>
      <c r="D11">
        <v>31</v>
      </c>
      <c r="E11" t="s">
        <v>138</v>
      </c>
      <c r="F11" t="s">
        <v>190</v>
      </c>
      <c r="G11" s="1">
        <v>0.44142361111111111</v>
      </c>
      <c r="H11" s="1">
        <v>0.46458333333333329</v>
      </c>
      <c r="I11" s="1">
        <v>0.46597222222222218</v>
      </c>
      <c r="J11">
        <v>86.462631336936553</v>
      </c>
      <c r="K11">
        <v>110.2111742246517</v>
      </c>
      <c r="L11">
        <v>66.200848484848478</v>
      </c>
      <c r="M11">
        <v>0.48177777777777758</v>
      </c>
      <c r="N11">
        <v>7.382729657557761E-3</v>
      </c>
      <c r="O11">
        <v>1.805588551232885E-2</v>
      </c>
      <c r="P11" s="1">
        <v>0.46613425925925928</v>
      </c>
      <c r="Q11" s="1">
        <v>0.46706018518518522</v>
      </c>
      <c r="R11">
        <v>6</v>
      </c>
      <c r="S11">
        <v>5</v>
      </c>
      <c r="T11">
        <v>98.350027523881025</v>
      </c>
      <c r="U11">
        <v>138.5891171637457</v>
      </c>
      <c r="V11">
        <v>37.716655737704919</v>
      </c>
      <c r="W11">
        <v>0.56993442622950863</v>
      </c>
      <c r="X11">
        <v>7.333231443028259E-3</v>
      </c>
      <c r="Y11">
        <v>1.9861389116464519E-2</v>
      </c>
      <c r="Z11" s="1">
        <v>0.46707175925925931</v>
      </c>
      <c r="AA11" s="1">
        <v>0.46819444444444452</v>
      </c>
      <c r="AB11">
        <v>60.598149464691083</v>
      </c>
      <c r="AC11">
        <v>74.483857051312583</v>
      </c>
      <c r="AD11">
        <v>47.436750000000004</v>
      </c>
      <c r="AE11">
        <v>0.5004444444444448</v>
      </c>
      <c r="AF11">
        <v>6.811292658195846E-3</v>
      </c>
      <c r="AG11">
        <v>1.9385904166752461E-2</v>
      </c>
      <c r="AH11" s="1">
        <v>0.46820601851851851</v>
      </c>
      <c r="AI11" s="1">
        <v>0.46924768518518523</v>
      </c>
      <c r="AJ11">
        <v>6</v>
      </c>
      <c r="AK11">
        <v>5</v>
      </c>
      <c r="AL11">
        <v>446.56226606293512</v>
      </c>
      <c r="AM11">
        <v>647.16996648271561</v>
      </c>
      <c r="AN11">
        <v>44.765764705882347</v>
      </c>
      <c r="AO11">
        <v>0.52905882352941136</v>
      </c>
      <c r="AP11">
        <v>6.4169111151311034E-3</v>
      </c>
      <c r="AQ11">
        <v>2.0758201047027209E-2</v>
      </c>
      <c r="AR11" s="1">
        <v>0.46925925925925932</v>
      </c>
      <c r="AS11" s="1">
        <v>0.47063657407407411</v>
      </c>
      <c r="AT11">
        <v>59.261909000636443</v>
      </c>
      <c r="AU11">
        <v>68.24744893191513</v>
      </c>
      <c r="AV11">
        <v>57.746119047619047</v>
      </c>
      <c r="AW11">
        <v>0.48400000000000037</v>
      </c>
      <c r="AX11">
        <v>1.022871528142843E-2</v>
      </c>
      <c r="AY11">
        <v>2.7043479984540479E-2</v>
      </c>
      <c r="AZ11" s="7">
        <v>0.47013888888888888</v>
      </c>
      <c r="BA11" s="7">
        <v>0.47222222222222221</v>
      </c>
      <c r="BB11" t="s">
        <v>288</v>
      </c>
      <c r="BC11" t="s">
        <v>509</v>
      </c>
      <c r="BD11" t="s">
        <v>510</v>
      </c>
      <c r="BE11" t="s">
        <v>178</v>
      </c>
      <c r="BF11" t="s">
        <v>159</v>
      </c>
      <c r="BG11" t="s">
        <v>179</v>
      </c>
      <c r="BH11" t="s">
        <v>511</v>
      </c>
      <c r="BI11" t="s">
        <v>179</v>
      </c>
      <c r="BJ11" t="s">
        <v>512</v>
      </c>
      <c r="BK11" t="s">
        <v>179</v>
      </c>
      <c r="BL11" t="s">
        <v>513</v>
      </c>
      <c r="BM11" t="s">
        <v>179</v>
      </c>
      <c r="BN11" t="s">
        <v>514</v>
      </c>
      <c r="BO11" t="s">
        <v>179</v>
      </c>
      <c r="BP11" t="s">
        <v>515</v>
      </c>
      <c r="BQ11" t="s">
        <v>179</v>
      </c>
      <c r="BR11" t="s">
        <v>516</v>
      </c>
      <c r="BS11" t="s">
        <v>179</v>
      </c>
      <c r="BT11" t="s">
        <v>517</v>
      </c>
      <c r="BU11" s="16">
        <v>0.78</v>
      </c>
      <c r="BV11" t="s">
        <v>518</v>
      </c>
      <c r="BW11" t="s">
        <v>170</v>
      </c>
      <c r="BX11" t="s">
        <v>170</v>
      </c>
      <c r="BY11" t="s">
        <v>170</v>
      </c>
      <c r="BZ11" t="s">
        <v>173</v>
      </c>
      <c r="CA11" t="s">
        <v>172</v>
      </c>
      <c r="CB11" t="s">
        <v>171</v>
      </c>
      <c r="CC11" t="s">
        <v>170</v>
      </c>
      <c r="CD11" t="s">
        <v>173</v>
      </c>
      <c r="CE11" t="s">
        <v>170</v>
      </c>
      <c r="CF11" t="s">
        <v>171</v>
      </c>
      <c r="CH11" t="s">
        <v>172</v>
      </c>
      <c r="CI11" t="s">
        <v>171</v>
      </c>
      <c r="CJ11" t="s">
        <v>173</v>
      </c>
      <c r="CK11" t="s">
        <v>170</v>
      </c>
      <c r="CL11" t="s">
        <v>194</v>
      </c>
      <c r="CM11" t="s">
        <v>194</v>
      </c>
      <c r="CN11" t="s">
        <v>175</v>
      </c>
      <c r="CO11">
        <v>55.446903765200382</v>
      </c>
      <c r="CP11">
        <v>59.893077420445451</v>
      </c>
      <c r="CQ11">
        <v>66.5585806451613</v>
      </c>
      <c r="CR11">
        <v>0.59055913978494579</v>
      </c>
      <c r="CS11">
        <v>3.7946156626243933E-2</v>
      </c>
      <c r="CT11">
        <v>0.1106170777305831</v>
      </c>
    </row>
    <row r="12" spans="1:98">
      <c r="A12">
        <v>11</v>
      </c>
      <c r="B12" t="s">
        <v>209</v>
      </c>
      <c r="C12" t="s">
        <v>95</v>
      </c>
      <c r="D12">
        <v>29</v>
      </c>
      <c r="E12" t="s">
        <v>189</v>
      </c>
      <c r="F12" t="s">
        <v>190</v>
      </c>
      <c r="G12" s="1">
        <v>0.54937499999999995</v>
      </c>
      <c r="H12" s="1">
        <v>0.57847222222222228</v>
      </c>
      <c r="I12" s="1">
        <v>0.57986111111111116</v>
      </c>
      <c r="J12">
        <v>132.8719180068031</v>
      </c>
      <c r="K12">
        <v>173.32176983124879</v>
      </c>
      <c r="L12">
        <v>58.611701149425294</v>
      </c>
      <c r="M12">
        <v>0.52009195402298802</v>
      </c>
      <c r="N12">
        <v>1.178013412525797E-2</v>
      </c>
      <c r="O12">
        <v>2.9464755908487211E-2</v>
      </c>
      <c r="P12" s="1">
        <v>0.58037037037037043</v>
      </c>
      <c r="Q12" s="1">
        <v>0.58143518518518522</v>
      </c>
      <c r="R12">
        <v>6</v>
      </c>
      <c r="S12">
        <v>5</v>
      </c>
      <c r="T12">
        <v>278.41122233818658</v>
      </c>
      <c r="U12">
        <v>370.39675838307443</v>
      </c>
      <c r="V12">
        <v>45.780268656716423</v>
      </c>
      <c r="W12">
        <v>0.5180597014925381</v>
      </c>
      <c r="X12">
        <v>1.250381186537748E-2</v>
      </c>
      <c r="Y12">
        <v>3.7269827372807887E-2</v>
      </c>
      <c r="Z12" s="1">
        <v>0.58144675925925926</v>
      </c>
      <c r="AA12" s="1">
        <v>0.58210648148148147</v>
      </c>
      <c r="AB12">
        <v>101.8912608146909</v>
      </c>
      <c r="AC12">
        <v>90.893556175433943</v>
      </c>
      <c r="AD12">
        <v>29.18848780487804</v>
      </c>
      <c r="AE12">
        <v>0.52146341463414603</v>
      </c>
      <c r="AF12">
        <v>1.4381800428794569E-2</v>
      </c>
      <c r="AG12">
        <v>5.1738978344801012E-2</v>
      </c>
      <c r="AH12" s="1">
        <v>0.58211805555555551</v>
      </c>
      <c r="AI12" s="1">
        <v>0.58283564814814814</v>
      </c>
      <c r="AJ12">
        <v>5</v>
      </c>
      <c r="AK12">
        <v>4</v>
      </c>
      <c r="AL12">
        <v>60.019084390867462</v>
      </c>
      <c r="AM12">
        <v>47.562662841263482</v>
      </c>
      <c r="AN12">
        <v>30.432347826086961</v>
      </c>
      <c r="AO12">
        <v>0.57539130434782582</v>
      </c>
      <c r="AP12">
        <v>1.328343456666118E-2</v>
      </c>
      <c r="AQ12">
        <v>4.6103515055722848E-2</v>
      </c>
      <c r="AR12" s="1">
        <v>0.58284722222222218</v>
      </c>
      <c r="AS12" s="1">
        <v>0.58402777777777781</v>
      </c>
      <c r="AT12">
        <v>51.341652079359413</v>
      </c>
      <c r="AU12">
        <v>48.060836152019959</v>
      </c>
      <c r="AV12">
        <v>50.143924050632911</v>
      </c>
      <c r="AW12">
        <v>0.49058227848101299</v>
      </c>
      <c r="AX12">
        <v>1.100115911156146E-2</v>
      </c>
      <c r="AY12">
        <v>3.2582509858480907E-2</v>
      </c>
      <c r="AZ12" s="7">
        <v>0.58402777777777781</v>
      </c>
      <c r="BA12" s="7">
        <v>0.58750000000000002</v>
      </c>
      <c r="BB12" t="s">
        <v>128</v>
      </c>
      <c r="BC12" t="s">
        <v>129</v>
      </c>
      <c r="BD12" t="s">
        <v>519</v>
      </c>
      <c r="BE12" t="s">
        <v>133</v>
      </c>
      <c r="BF12" t="s">
        <v>129</v>
      </c>
      <c r="BG12" t="s">
        <v>133</v>
      </c>
      <c r="BH12" t="s">
        <v>129</v>
      </c>
      <c r="BI12" t="s">
        <v>131</v>
      </c>
      <c r="BJ12" t="s">
        <v>520</v>
      </c>
      <c r="BK12" t="s">
        <v>131</v>
      </c>
      <c r="BL12" t="s">
        <v>521</v>
      </c>
      <c r="BM12" t="s">
        <v>133</v>
      </c>
      <c r="BN12" t="s">
        <v>129</v>
      </c>
      <c r="BO12" t="s">
        <v>131</v>
      </c>
      <c r="BP12" t="s">
        <v>522</v>
      </c>
      <c r="BQ12" t="s">
        <v>133</v>
      </c>
      <c r="BR12" t="s">
        <v>129</v>
      </c>
      <c r="BS12" t="s">
        <v>133</v>
      </c>
      <c r="BT12" t="s">
        <v>129</v>
      </c>
      <c r="BU12" t="s">
        <v>389</v>
      </c>
      <c r="BV12" t="s">
        <v>129</v>
      </c>
      <c r="BW12" t="s">
        <v>114</v>
      </c>
      <c r="BX12" t="s">
        <v>111</v>
      </c>
      <c r="BY12" t="s">
        <v>123</v>
      </c>
      <c r="BZ12" t="s">
        <v>111</v>
      </c>
      <c r="CA12" t="s">
        <v>114</v>
      </c>
      <c r="CB12" t="s">
        <v>113</v>
      </c>
      <c r="CC12" t="s">
        <v>114</v>
      </c>
      <c r="CD12" t="s">
        <v>112</v>
      </c>
      <c r="CE12" t="s">
        <v>114</v>
      </c>
      <c r="CF12" t="s">
        <v>113</v>
      </c>
      <c r="CG12" t="s">
        <v>114</v>
      </c>
      <c r="CH12" t="s">
        <v>114</v>
      </c>
      <c r="CI12" t="s">
        <v>111</v>
      </c>
      <c r="CJ12" t="s">
        <v>111</v>
      </c>
      <c r="CK12" t="s">
        <v>112</v>
      </c>
      <c r="CL12" t="s">
        <v>115</v>
      </c>
      <c r="CM12" t="s">
        <v>117</v>
      </c>
      <c r="CN12" t="s">
        <v>116</v>
      </c>
      <c r="CO12">
        <v>58.378486705010452</v>
      </c>
      <c r="CP12">
        <v>61.593943228878132</v>
      </c>
      <c r="CQ12">
        <v>149.1693087557604</v>
      </c>
      <c r="CR12">
        <v>0.52381566820276526</v>
      </c>
      <c r="CS12">
        <v>9.7293184689655077E-3</v>
      </c>
      <c r="CT12">
        <v>2.125896239143452E-2</v>
      </c>
    </row>
    <row r="13" spans="1:98">
      <c r="A13">
        <v>12</v>
      </c>
      <c r="B13" t="s">
        <v>99</v>
      </c>
      <c r="C13" t="s">
        <v>95</v>
      </c>
      <c r="D13">
        <v>21</v>
      </c>
      <c r="E13" t="s">
        <v>138</v>
      </c>
      <c r="F13" t="s">
        <v>190</v>
      </c>
      <c r="G13" s="1">
        <v>0.61192129629629632</v>
      </c>
      <c r="H13" s="1">
        <v>0.63472222222222219</v>
      </c>
      <c r="I13" s="1">
        <f t="shared" ref="I13:I26" si="0">H13+TIME(0,2,0)</f>
        <v>0.63611111111111107</v>
      </c>
      <c r="J13">
        <v>54.915691421228679</v>
      </c>
      <c r="K13">
        <v>73.437209979163441</v>
      </c>
      <c r="L13">
        <v>60.120289156626512</v>
      </c>
      <c r="M13">
        <v>0.49053012048192779</v>
      </c>
      <c r="N13">
        <v>1.4845122391419951E-2</v>
      </c>
      <c r="O13">
        <v>4.7569136879299763E-2</v>
      </c>
      <c r="P13" s="1">
        <v>0.63623842592592594</v>
      </c>
      <c r="Q13" s="1">
        <v>0.63740740740740742</v>
      </c>
      <c r="R13">
        <v>7</v>
      </c>
      <c r="S13">
        <v>7</v>
      </c>
      <c r="T13">
        <v>83.65496479453553</v>
      </c>
      <c r="U13">
        <v>94.185830995081972</v>
      </c>
      <c r="V13">
        <v>59.564071428571438</v>
      </c>
      <c r="W13">
        <v>0.51811904761904748</v>
      </c>
      <c r="X13">
        <v>1.7566036675104889E-2</v>
      </c>
      <c r="Y13">
        <v>5.2034154237352942E-2</v>
      </c>
      <c r="Z13" s="1">
        <v>0.63741898148148146</v>
      </c>
      <c r="AA13" s="1">
        <v>0.6381944444444444</v>
      </c>
      <c r="AB13">
        <v>0</v>
      </c>
      <c r="AD13">
        <v>33.634857142857143</v>
      </c>
      <c r="AE13">
        <v>0.55697959183673484</v>
      </c>
      <c r="AF13">
        <v>1.9071629702830249E-2</v>
      </c>
      <c r="AG13">
        <v>7.0646183833309617E-2</v>
      </c>
      <c r="AH13" s="1">
        <v>0.63901620370370371</v>
      </c>
      <c r="AI13" s="1">
        <v>0.64025462962962965</v>
      </c>
      <c r="AJ13">
        <v>7</v>
      </c>
      <c r="AK13">
        <v>7</v>
      </c>
      <c r="AL13">
        <v>111.7034455174349</v>
      </c>
      <c r="AM13">
        <v>120.85329531023081</v>
      </c>
      <c r="AN13">
        <v>52.285699999999999</v>
      </c>
      <c r="AO13">
        <v>0.50017500000000026</v>
      </c>
      <c r="AP13">
        <v>1.8496001811097899E-2</v>
      </c>
      <c r="AQ13">
        <v>5.4796065613444613E-2</v>
      </c>
      <c r="AR13" s="1">
        <v>0.64027777777777772</v>
      </c>
      <c r="AS13" s="1">
        <v>0.64166666666666672</v>
      </c>
      <c r="AT13">
        <v>54.674757097736581</v>
      </c>
      <c r="AU13">
        <v>45.162690786237221</v>
      </c>
      <c r="AV13">
        <v>59.974919540229891</v>
      </c>
      <c r="AW13">
        <v>0.49756321839080492</v>
      </c>
      <c r="AX13">
        <v>1.5060007036261629E-2</v>
      </c>
      <c r="AY13">
        <v>4.726263202217898E-2</v>
      </c>
      <c r="AZ13" s="7">
        <v>0.64166666666666672</v>
      </c>
      <c r="BA13" s="7">
        <v>0.64375000000000004</v>
      </c>
      <c r="BB13" t="s">
        <v>105</v>
      </c>
      <c r="BC13" t="s">
        <v>106</v>
      </c>
      <c r="BD13" t="s">
        <v>105</v>
      </c>
      <c r="BE13" t="s">
        <v>105</v>
      </c>
      <c r="BF13" t="s">
        <v>106</v>
      </c>
      <c r="BG13" t="s">
        <v>105</v>
      </c>
      <c r="BH13" t="s">
        <v>106</v>
      </c>
      <c r="BI13" t="s">
        <v>105</v>
      </c>
      <c r="BJ13" t="s">
        <v>106</v>
      </c>
      <c r="BK13" t="s">
        <v>105</v>
      </c>
      <c r="BL13" t="s">
        <v>106</v>
      </c>
      <c r="BM13" t="s">
        <v>105</v>
      </c>
      <c r="BN13" t="s">
        <v>106</v>
      </c>
      <c r="BO13" t="s">
        <v>105</v>
      </c>
      <c r="BP13" t="s">
        <v>241</v>
      </c>
      <c r="BQ13" t="s">
        <v>105</v>
      </c>
      <c r="BR13" t="s">
        <v>106</v>
      </c>
      <c r="BS13" t="s">
        <v>105</v>
      </c>
      <c r="BT13" t="s">
        <v>106</v>
      </c>
      <c r="BU13" t="s">
        <v>302</v>
      </c>
      <c r="BV13" t="s">
        <v>106</v>
      </c>
      <c r="BW13" t="s">
        <v>123</v>
      </c>
      <c r="BX13" t="s">
        <v>112</v>
      </c>
      <c r="BY13" t="s">
        <v>111</v>
      </c>
      <c r="BZ13" t="s">
        <v>123</v>
      </c>
      <c r="CA13" t="s">
        <v>123</v>
      </c>
      <c r="CB13" t="s">
        <v>112</v>
      </c>
      <c r="CC13" t="s">
        <v>123</v>
      </c>
      <c r="CD13" t="s">
        <v>112</v>
      </c>
      <c r="CE13" t="s">
        <v>111</v>
      </c>
      <c r="CF13" t="s">
        <v>112</v>
      </c>
      <c r="CG13" t="s">
        <v>111</v>
      </c>
      <c r="CH13" t="s">
        <v>111</v>
      </c>
      <c r="CI13" t="s">
        <v>112</v>
      </c>
      <c r="CJ13" t="s">
        <v>112</v>
      </c>
      <c r="CK13" t="s">
        <v>111</v>
      </c>
      <c r="CL13" t="s">
        <v>155</v>
      </c>
      <c r="CM13" t="s">
        <v>116</v>
      </c>
      <c r="CN13" t="s">
        <v>155</v>
      </c>
      <c r="CO13">
        <v>71.355473603981878</v>
      </c>
      <c r="CP13">
        <v>80.920827528324423</v>
      </c>
      <c r="CQ13">
        <v>88.551568000000003</v>
      </c>
      <c r="CR13">
        <v>0.5358400000000012</v>
      </c>
      <c r="CS13">
        <v>1.4925218144694941E-2</v>
      </c>
      <c r="CT13">
        <v>3.9826248642850788E-2</v>
      </c>
    </row>
    <row r="14" spans="1:98">
      <c r="A14">
        <v>13</v>
      </c>
      <c r="B14" t="s">
        <v>99</v>
      </c>
      <c r="C14" t="s">
        <v>125</v>
      </c>
      <c r="D14">
        <v>24</v>
      </c>
      <c r="E14" t="s">
        <v>138</v>
      </c>
      <c r="F14" t="s">
        <v>220</v>
      </c>
      <c r="G14" s="1">
        <v>0.45401620370370371</v>
      </c>
      <c r="H14" s="1">
        <v>0.47986111111111113</v>
      </c>
      <c r="I14" s="1">
        <f t="shared" si="0"/>
        <v>0.48125000000000001</v>
      </c>
      <c r="J14">
        <v>64.682285624546523</v>
      </c>
      <c r="K14">
        <v>30.288524837668469</v>
      </c>
      <c r="L14">
        <v>58.547086956521753</v>
      </c>
      <c r="M14">
        <v>0.52943478260869559</v>
      </c>
      <c r="N14">
        <v>1.064642154674952E-2</v>
      </c>
      <c r="O14">
        <v>2.2669778875846831E-2</v>
      </c>
      <c r="P14" s="1">
        <v>0.48140046296296302</v>
      </c>
      <c r="Q14" s="1">
        <v>0.48249999999999998</v>
      </c>
      <c r="R14">
        <v>7</v>
      </c>
      <c r="S14">
        <v>7</v>
      </c>
      <c r="T14">
        <v>54.590900094431262</v>
      </c>
      <c r="U14">
        <v>51.36613026930236</v>
      </c>
      <c r="V14">
        <v>46.873885714285713</v>
      </c>
      <c r="W14">
        <v>0.5075714285714289</v>
      </c>
      <c r="X14">
        <v>1.119631650608004E-2</v>
      </c>
      <c r="Y14">
        <v>2.5351126025712829E-2</v>
      </c>
      <c r="Z14" s="1">
        <v>0.4826388888888889</v>
      </c>
      <c r="AA14" s="1">
        <v>0.48402777777777778</v>
      </c>
      <c r="AB14">
        <v>47.766825104605182</v>
      </c>
      <c r="AC14">
        <v>34.849007637712091</v>
      </c>
      <c r="AD14">
        <v>60.053613636363643</v>
      </c>
      <c r="AE14">
        <v>0.4831363636363637</v>
      </c>
      <c r="AF14">
        <v>1.0222539348496011E-2</v>
      </c>
      <c r="AG14">
        <v>2.2087448949748401E-2</v>
      </c>
      <c r="AH14" s="1">
        <v>0.48423611111111109</v>
      </c>
      <c r="AI14" s="1">
        <v>0.48542824074074081</v>
      </c>
      <c r="AJ14">
        <v>6</v>
      </c>
      <c r="AK14">
        <v>6</v>
      </c>
      <c r="AL14">
        <v>76.447666261331136</v>
      </c>
      <c r="AM14">
        <v>55.43569499041152</v>
      </c>
      <c r="AN14">
        <v>50.269289473684218</v>
      </c>
      <c r="AO14">
        <v>0.48442105263157842</v>
      </c>
      <c r="AP14">
        <v>1.0202926733404061E-2</v>
      </c>
      <c r="AQ14">
        <v>2.3468893094260111E-2</v>
      </c>
      <c r="AR14" s="1">
        <v>0.4854398148148148</v>
      </c>
      <c r="AS14" s="1">
        <v>0.48681712962962959</v>
      </c>
      <c r="AT14">
        <v>81.389503470458621</v>
      </c>
      <c r="AU14">
        <v>115.7338998326329</v>
      </c>
      <c r="AV14">
        <v>60.10226373626373</v>
      </c>
      <c r="AW14">
        <v>0.4834945054945054</v>
      </c>
      <c r="AX14">
        <v>1.0724536997100371E-2</v>
      </c>
      <c r="AY14">
        <v>2.2986088879667629E-2</v>
      </c>
      <c r="AZ14" s="7">
        <v>0.48680555555555549</v>
      </c>
      <c r="BA14" s="7">
        <v>0.4909722222222222</v>
      </c>
      <c r="BB14" t="s">
        <v>101</v>
      </c>
      <c r="BC14" t="s">
        <v>523</v>
      </c>
      <c r="BD14" t="s">
        <v>524</v>
      </c>
      <c r="BE14" t="s">
        <v>101</v>
      </c>
      <c r="BF14" t="s">
        <v>525</v>
      </c>
      <c r="BG14" t="s">
        <v>105</v>
      </c>
      <c r="BH14" t="s">
        <v>106</v>
      </c>
      <c r="BI14" t="s">
        <v>526</v>
      </c>
      <c r="BJ14" t="s">
        <v>527</v>
      </c>
      <c r="BK14" t="s">
        <v>101</v>
      </c>
      <c r="BL14" t="s">
        <v>528</v>
      </c>
      <c r="BM14" t="s">
        <v>101</v>
      </c>
      <c r="BN14" t="s">
        <v>529</v>
      </c>
      <c r="BO14" t="s">
        <v>101</v>
      </c>
      <c r="BP14" t="s">
        <v>530</v>
      </c>
      <c r="BQ14" t="s">
        <v>101</v>
      </c>
      <c r="BR14" t="s">
        <v>531</v>
      </c>
      <c r="BS14" t="s">
        <v>101</v>
      </c>
      <c r="BT14" t="s">
        <v>532</v>
      </c>
      <c r="BU14" t="s">
        <v>533</v>
      </c>
      <c r="BV14" t="s">
        <v>341</v>
      </c>
      <c r="BW14" t="s">
        <v>113</v>
      </c>
      <c r="BX14" t="s">
        <v>114</v>
      </c>
      <c r="BY14" t="s">
        <v>123</v>
      </c>
      <c r="BZ14" t="s">
        <v>114</v>
      </c>
      <c r="CA14" t="s">
        <v>113</v>
      </c>
      <c r="CB14" t="s">
        <v>114</v>
      </c>
      <c r="CC14" t="s">
        <v>113</v>
      </c>
      <c r="CD14" t="s">
        <v>113</v>
      </c>
      <c r="CE14" t="s">
        <v>113</v>
      </c>
      <c r="CF14" t="s">
        <v>114</v>
      </c>
      <c r="CG14" t="s">
        <v>113</v>
      </c>
      <c r="CH14" t="s">
        <v>113</v>
      </c>
      <c r="CI14" t="s">
        <v>114</v>
      </c>
      <c r="CJ14" t="s">
        <v>114</v>
      </c>
      <c r="CK14" t="s">
        <v>113</v>
      </c>
      <c r="CL14" t="s">
        <v>115</v>
      </c>
      <c r="CM14" t="s">
        <v>116</v>
      </c>
      <c r="CN14" t="s">
        <v>116</v>
      </c>
      <c r="CO14">
        <v>61.833733365459537</v>
      </c>
      <c r="CP14">
        <v>72.730831928718644</v>
      </c>
      <c r="CQ14">
        <v>176.51802803738309</v>
      </c>
      <c r="CR14">
        <v>0.5037009345794391</v>
      </c>
      <c r="CS14">
        <v>2.3278251783363811E-2</v>
      </c>
      <c r="CT14">
        <v>3.3765743326072968E-2</v>
      </c>
    </row>
    <row r="15" spans="1:98">
      <c r="A15">
        <v>14</v>
      </c>
      <c r="B15" t="s">
        <v>234</v>
      </c>
      <c r="C15" t="s">
        <v>95</v>
      </c>
      <c r="D15">
        <v>31</v>
      </c>
      <c r="E15" t="s">
        <v>189</v>
      </c>
      <c r="F15" t="s">
        <v>220</v>
      </c>
      <c r="G15" s="1">
        <v>0.593287037037037</v>
      </c>
      <c r="H15" s="1">
        <v>0.6118055555555556</v>
      </c>
      <c r="I15" s="1">
        <f t="shared" si="0"/>
        <v>0.61319444444444449</v>
      </c>
      <c r="J15">
        <v>210.79642309009299</v>
      </c>
      <c r="K15">
        <v>213.1393910097332</v>
      </c>
      <c r="L15">
        <v>83.406499999999994</v>
      </c>
      <c r="M15">
        <v>0.33500000000000091</v>
      </c>
      <c r="N15">
        <v>0.548291013164937</v>
      </c>
      <c r="O15">
        <v>0.57999601922711164</v>
      </c>
      <c r="P15" s="1">
        <v>0.61331018518518521</v>
      </c>
      <c r="Q15" s="1">
        <v>0.61444444444444446</v>
      </c>
      <c r="R15">
        <v>7</v>
      </c>
      <c r="S15">
        <v>6</v>
      </c>
      <c r="T15">
        <v>57.767632275093071</v>
      </c>
      <c r="U15">
        <v>61.726827096749084</v>
      </c>
      <c r="V15">
        <v>51.754867469879521</v>
      </c>
      <c r="W15">
        <v>0.48891566265060288</v>
      </c>
      <c r="X15">
        <v>1.781092740275596E-3</v>
      </c>
      <c r="Y15">
        <v>3.639473623137047E-3</v>
      </c>
      <c r="Z15" s="1">
        <v>0.6144560185185185</v>
      </c>
      <c r="AA15" s="1">
        <v>0.61537037037037035</v>
      </c>
      <c r="AB15">
        <v>124.17309572963541</v>
      </c>
      <c r="AC15">
        <v>168.31752706110649</v>
      </c>
      <c r="AD15">
        <v>38.508000000000003</v>
      </c>
      <c r="AE15">
        <v>0.53613793103448248</v>
      </c>
      <c r="AF15">
        <v>2.7490248119797188E-3</v>
      </c>
      <c r="AG15">
        <v>4.9440188874886656E-3</v>
      </c>
      <c r="AH15" s="1">
        <v>0.6153819444444445</v>
      </c>
      <c r="AI15" s="1">
        <v>0.6165856481481482</v>
      </c>
      <c r="AJ15">
        <v>7</v>
      </c>
      <c r="AK15">
        <v>7</v>
      </c>
      <c r="AL15">
        <v>55.521980492524833</v>
      </c>
      <c r="AM15">
        <v>52.274369973224928</v>
      </c>
      <c r="AN15">
        <v>51.275307692307692</v>
      </c>
      <c r="AO15">
        <v>0.53087179487179392</v>
      </c>
      <c r="AP15">
        <v>1.7273947594791221E-3</v>
      </c>
      <c r="AQ15">
        <v>3.5636077959644518E-3</v>
      </c>
      <c r="AR15" s="1">
        <v>0.6166666666666667</v>
      </c>
      <c r="AS15" s="1">
        <v>0.61805555555555558</v>
      </c>
      <c r="AT15">
        <v>119.7893074197404</v>
      </c>
      <c r="AU15">
        <v>127.41926985220979</v>
      </c>
      <c r="AV15">
        <v>58.370068965517248</v>
      </c>
      <c r="AW15">
        <v>0.54487356321839053</v>
      </c>
      <c r="AX15">
        <v>1.5820854279537399E-3</v>
      </c>
      <c r="AY15">
        <v>3.291590987783183E-3</v>
      </c>
      <c r="AZ15" s="7">
        <v>0.61805555555555558</v>
      </c>
      <c r="BA15" s="7">
        <v>0.61944444444444446</v>
      </c>
      <c r="BB15" t="s">
        <v>105</v>
      </c>
      <c r="BC15" t="s">
        <v>196</v>
      </c>
      <c r="BD15" t="s">
        <v>106</v>
      </c>
      <c r="BE15" t="s">
        <v>105</v>
      </c>
      <c r="BF15" t="s">
        <v>106</v>
      </c>
      <c r="BG15" t="s">
        <v>105</v>
      </c>
      <c r="BH15" t="s">
        <v>106</v>
      </c>
      <c r="BI15" t="s">
        <v>105</v>
      </c>
      <c r="BJ15" t="s">
        <v>106</v>
      </c>
      <c r="BK15" t="s">
        <v>105</v>
      </c>
      <c r="BL15" t="s">
        <v>106</v>
      </c>
      <c r="BM15" t="s">
        <v>105</v>
      </c>
      <c r="BN15" t="s">
        <v>106</v>
      </c>
      <c r="BO15" t="s">
        <v>105</v>
      </c>
      <c r="BP15" t="s">
        <v>106</v>
      </c>
      <c r="BQ15" t="s">
        <v>105</v>
      </c>
      <c r="BR15" t="s">
        <v>106</v>
      </c>
      <c r="BS15" t="s">
        <v>105</v>
      </c>
      <c r="BT15" t="s">
        <v>106</v>
      </c>
      <c r="BU15" t="s">
        <v>192</v>
      </c>
      <c r="BV15" t="s">
        <v>106</v>
      </c>
      <c r="BW15" t="s">
        <v>123</v>
      </c>
      <c r="BX15" t="s">
        <v>111</v>
      </c>
      <c r="BY15" t="s">
        <v>112</v>
      </c>
      <c r="BZ15" t="s">
        <v>111</v>
      </c>
      <c r="CA15" t="s">
        <v>112</v>
      </c>
      <c r="CB15" t="s">
        <v>123</v>
      </c>
      <c r="CC15" t="s">
        <v>112</v>
      </c>
      <c r="CD15" t="s">
        <v>111</v>
      </c>
      <c r="CE15" t="s">
        <v>111</v>
      </c>
      <c r="CF15" t="s">
        <v>111</v>
      </c>
      <c r="CG15" t="s">
        <v>123</v>
      </c>
      <c r="CH15" t="s">
        <v>123</v>
      </c>
      <c r="CI15" t="s">
        <v>112</v>
      </c>
      <c r="CJ15" t="s">
        <v>111</v>
      </c>
      <c r="CK15" t="s">
        <v>123</v>
      </c>
      <c r="CL15" t="s">
        <v>115</v>
      </c>
      <c r="CM15" t="s">
        <v>116</v>
      </c>
      <c r="CN15" t="s">
        <v>116</v>
      </c>
      <c r="CO15">
        <v>60.837764523812567</v>
      </c>
      <c r="CP15">
        <v>75.739896454204541</v>
      </c>
      <c r="CQ15">
        <v>58.594976744186042</v>
      </c>
      <c r="CR15">
        <v>0.52006976744186029</v>
      </c>
      <c r="CS15">
        <v>1.6778881446408911E-3</v>
      </c>
      <c r="CT15">
        <v>3.5255537903167359E-3</v>
      </c>
    </row>
    <row r="16" spans="1:98">
      <c r="A16">
        <v>15</v>
      </c>
      <c r="B16" t="s">
        <v>99</v>
      </c>
      <c r="C16" t="s">
        <v>95</v>
      </c>
      <c r="D16">
        <v>27</v>
      </c>
      <c r="E16" t="s">
        <v>334</v>
      </c>
      <c r="F16" t="s">
        <v>220</v>
      </c>
      <c r="G16" s="1">
        <v>0.6517708333333333</v>
      </c>
      <c r="H16" s="1">
        <v>0.6791666666666667</v>
      </c>
      <c r="I16" s="1">
        <f t="shared" si="0"/>
        <v>0.68055555555555558</v>
      </c>
      <c r="J16">
        <v>96.496543529627104</v>
      </c>
      <c r="K16">
        <v>84.763040939099994</v>
      </c>
      <c r="L16">
        <v>58.520363636363633</v>
      </c>
      <c r="M16">
        <v>0.51761363636363589</v>
      </c>
      <c r="N16">
        <v>1.281292611295703E-2</v>
      </c>
      <c r="O16">
        <v>4.1869859044148909E-2</v>
      </c>
      <c r="P16" s="1">
        <v>0.68152777777777773</v>
      </c>
      <c r="Q16" s="1">
        <v>0.68269675925925921</v>
      </c>
      <c r="R16">
        <v>7</v>
      </c>
      <c r="S16">
        <v>7</v>
      </c>
      <c r="T16">
        <v>77.419831858607111</v>
      </c>
      <c r="U16">
        <v>78.209925539091472</v>
      </c>
      <c r="V16">
        <v>50.085041095890418</v>
      </c>
      <c r="W16">
        <v>0.49134246575342477</v>
      </c>
      <c r="X16">
        <v>1.511930413290574E-2</v>
      </c>
      <c r="Y16">
        <v>4.595134396811143E-2</v>
      </c>
      <c r="Z16" s="1">
        <v>0.68270833333333336</v>
      </c>
      <c r="AA16" s="1">
        <v>0.6840856481481481</v>
      </c>
      <c r="AB16">
        <v>88.145950176523158</v>
      </c>
      <c r="AC16">
        <v>93.397230874596502</v>
      </c>
      <c r="AD16">
        <v>58.439477272727267</v>
      </c>
      <c r="AE16">
        <v>0.52986363636363643</v>
      </c>
      <c r="AF16">
        <v>1.210266898433621E-2</v>
      </c>
      <c r="AG16">
        <v>3.6783881751693108E-2</v>
      </c>
      <c r="AH16" s="1">
        <v>0.68421296296296297</v>
      </c>
      <c r="AI16" s="1">
        <v>0.68543981481481486</v>
      </c>
      <c r="AJ16">
        <v>7</v>
      </c>
      <c r="AK16">
        <v>6</v>
      </c>
      <c r="AL16">
        <v>54.743663796541128</v>
      </c>
      <c r="AM16">
        <v>58.963723769116953</v>
      </c>
      <c r="AN16">
        <v>51.998300000000008</v>
      </c>
      <c r="AO16">
        <v>0.49214999999999948</v>
      </c>
      <c r="AP16">
        <v>1.102410411171641E-2</v>
      </c>
      <c r="AQ16">
        <v>3.5760642616732632E-2</v>
      </c>
      <c r="AR16" s="1">
        <v>0.6854513888888889</v>
      </c>
      <c r="AS16" s="1">
        <v>0.68682870370370375</v>
      </c>
      <c r="AT16">
        <v>96.005692952892872</v>
      </c>
      <c r="AU16">
        <v>96.857668772276995</v>
      </c>
      <c r="AV16">
        <v>59.783356321839079</v>
      </c>
      <c r="AW16">
        <v>0.5028045977011486</v>
      </c>
      <c r="AX16">
        <v>1.307813362314624E-2</v>
      </c>
      <c r="AY16">
        <v>3.7817284101750788E-2</v>
      </c>
      <c r="AZ16" s="7">
        <v>0.68680555555555556</v>
      </c>
      <c r="BA16" s="7">
        <v>0.69097222222222221</v>
      </c>
      <c r="BB16" t="s">
        <v>139</v>
      </c>
      <c r="BC16" t="s">
        <v>534</v>
      </c>
      <c r="BD16" t="s">
        <v>535</v>
      </c>
      <c r="BE16" t="s">
        <v>101</v>
      </c>
      <c r="BF16" t="s">
        <v>536</v>
      </c>
      <c r="BG16" t="s">
        <v>101</v>
      </c>
      <c r="BH16" t="s">
        <v>537</v>
      </c>
      <c r="BI16" t="s">
        <v>101</v>
      </c>
      <c r="BJ16" t="s">
        <v>538</v>
      </c>
      <c r="BK16" t="s">
        <v>101</v>
      </c>
      <c r="BL16" t="s">
        <v>143</v>
      </c>
      <c r="BM16" t="s">
        <v>101</v>
      </c>
      <c r="BN16" t="s">
        <v>539</v>
      </c>
      <c r="BO16" t="s">
        <v>105</v>
      </c>
      <c r="BP16" t="s">
        <v>106</v>
      </c>
      <c r="BQ16" t="s">
        <v>101</v>
      </c>
      <c r="BR16" t="s">
        <v>540</v>
      </c>
      <c r="BS16" t="s">
        <v>101</v>
      </c>
      <c r="BT16" t="s">
        <v>541</v>
      </c>
      <c r="BU16" t="s">
        <v>350</v>
      </c>
      <c r="BV16" t="s">
        <v>542</v>
      </c>
      <c r="BW16" t="s">
        <v>112</v>
      </c>
      <c r="BX16" t="s">
        <v>111</v>
      </c>
      <c r="BY16" t="s">
        <v>111</v>
      </c>
      <c r="BZ16" t="s">
        <v>114</v>
      </c>
      <c r="CA16" t="s">
        <v>112</v>
      </c>
      <c r="CB16" t="s">
        <v>113</v>
      </c>
      <c r="CC16" t="s">
        <v>113</v>
      </c>
      <c r="CD16" t="s">
        <v>123</v>
      </c>
      <c r="CE16" t="s">
        <v>112</v>
      </c>
      <c r="CF16" t="s">
        <v>111</v>
      </c>
      <c r="CG16" t="s">
        <v>112</v>
      </c>
      <c r="CH16" t="s">
        <v>112</v>
      </c>
      <c r="CI16" t="s">
        <v>111</v>
      </c>
      <c r="CJ16" t="s">
        <v>113</v>
      </c>
      <c r="CK16" t="s">
        <v>112</v>
      </c>
      <c r="CL16" t="s">
        <v>116</v>
      </c>
      <c r="CM16" t="s">
        <v>116</v>
      </c>
      <c r="CN16" t="s">
        <v>155</v>
      </c>
      <c r="CO16">
        <v>78.472765749609394</v>
      </c>
      <c r="CP16">
        <v>84.001140166641051</v>
      </c>
      <c r="CQ16">
        <v>178.40248412698409</v>
      </c>
      <c r="CR16">
        <v>0.50199206349206316</v>
      </c>
      <c r="CS16">
        <v>1.067937978129801E-2</v>
      </c>
      <c r="CT16">
        <v>2.4268534579026661E-2</v>
      </c>
    </row>
    <row r="17" spans="1:98">
      <c r="A17">
        <v>16</v>
      </c>
      <c r="B17" t="s">
        <v>137</v>
      </c>
      <c r="C17" t="s">
        <v>125</v>
      </c>
      <c r="D17">
        <v>63</v>
      </c>
      <c r="E17" t="s">
        <v>156</v>
      </c>
      <c r="F17" t="s">
        <v>245</v>
      </c>
      <c r="G17" s="1">
        <v>0.3495138888888889</v>
      </c>
      <c r="H17" s="11">
        <v>0.375</v>
      </c>
      <c r="I17" s="1">
        <f t="shared" si="0"/>
        <v>0.37638888888888888</v>
      </c>
      <c r="J17">
        <v>28.064852334949212</v>
      </c>
      <c r="K17">
        <v>20.96664016956543</v>
      </c>
      <c r="L17">
        <v>59.055287356321841</v>
      </c>
      <c r="M17">
        <v>0.45319540229885091</v>
      </c>
      <c r="N17">
        <v>8.6654419701427E-3</v>
      </c>
      <c r="O17">
        <v>2.4568219598176091E-2</v>
      </c>
      <c r="P17" s="1">
        <v>0.37653935185185178</v>
      </c>
      <c r="Q17" s="1">
        <v>0.37778935185185192</v>
      </c>
      <c r="R17">
        <v>7</v>
      </c>
      <c r="S17">
        <v>6</v>
      </c>
      <c r="T17">
        <v>40.294287305851618</v>
      </c>
      <c r="U17">
        <v>18.33120448446418</v>
      </c>
      <c r="V17">
        <v>52.560775</v>
      </c>
      <c r="W17">
        <v>0.50052499999999944</v>
      </c>
      <c r="X17">
        <v>1.2306302879229909E-2</v>
      </c>
      <c r="Y17">
        <v>3.112053690887558E-2</v>
      </c>
      <c r="Z17" s="1">
        <v>0.3778009259259259</v>
      </c>
      <c r="AA17" s="1">
        <v>0.37916666666666671</v>
      </c>
      <c r="AB17">
        <v>54.577159631972897</v>
      </c>
      <c r="AC17">
        <v>20.318994523882399</v>
      </c>
      <c r="AD17">
        <v>59.076229885057472</v>
      </c>
      <c r="AE17">
        <v>0.45995402298850557</v>
      </c>
      <c r="AF17">
        <v>1.108840306573231E-2</v>
      </c>
      <c r="AG17">
        <v>2.7910014414710239E-2</v>
      </c>
      <c r="AH17" s="1">
        <v>0.37930555555555562</v>
      </c>
      <c r="AI17" s="1">
        <v>0.38038194444444451</v>
      </c>
      <c r="AJ17">
        <v>6</v>
      </c>
      <c r="AK17">
        <v>5</v>
      </c>
      <c r="AL17">
        <v>45.294130323456343</v>
      </c>
      <c r="AM17">
        <v>20.283566671645492</v>
      </c>
      <c r="AN17">
        <v>45.690656716417912</v>
      </c>
      <c r="AO17">
        <v>0.45567164179104358</v>
      </c>
      <c r="AP17">
        <v>1.169403384248845E-2</v>
      </c>
      <c r="AQ17">
        <v>3.1678289297738027E-2</v>
      </c>
      <c r="AR17" s="1">
        <v>0.38039351851851849</v>
      </c>
      <c r="AS17" s="1">
        <v>0.38177083333333328</v>
      </c>
      <c r="AT17">
        <v>42.098583792150713</v>
      </c>
      <c r="AU17">
        <v>23.502597580338669</v>
      </c>
      <c r="AV17">
        <v>58.290988505747123</v>
      </c>
      <c r="AW17">
        <v>0.49650574712643708</v>
      </c>
      <c r="AX17">
        <v>1.18193702013608E-2</v>
      </c>
      <c r="AY17">
        <v>2.8686981179067612E-2</v>
      </c>
      <c r="AZ17" s="7">
        <v>0.38124999999999998</v>
      </c>
      <c r="BA17" s="7">
        <v>0.38750000000000001</v>
      </c>
      <c r="BB17" t="s">
        <v>543</v>
      </c>
      <c r="BC17" t="s">
        <v>544</v>
      </c>
      <c r="BD17" t="s">
        <v>545</v>
      </c>
      <c r="BE17" t="s">
        <v>162</v>
      </c>
      <c r="BF17" t="s">
        <v>546</v>
      </c>
      <c r="BG17" t="s">
        <v>162</v>
      </c>
      <c r="BH17" t="s">
        <v>547</v>
      </c>
      <c r="BI17" t="s">
        <v>548</v>
      </c>
      <c r="BJ17" t="s">
        <v>549</v>
      </c>
      <c r="BK17" t="s">
        <v>162</v>
      </c>
      <c r="BL17" t="s">
        <v>550</v>
      </c>
      <c r="BM17" t="s">
        <v>162</v>
      </c>
      <c r="BN17" t="s">
        <v>551</v>
      </c>
      <c r="BO17" t="s">
        <v>162</v>
      </c>
      <c r="BP17" t="s">
        <v>552</v>
      </c>
      <c r="BQ17" t="s">
        <v>162</v>
      </c>
      <c r="BR17" t="s">
        <v>553</v>
      </c>
      <c r="BS17" t="s">
        <v>162</v>
      </c>
      <c r="BT17" t="s">
        <v>554</v>
      </c>
      <c r="BU17" t="s">
        <v>109</v>
      </c>
      <c r="BV17" t="s">
        <v>555</v>
      </c>
      <c r="BW17" t="s">
        <v>170</v>
      </c>
      <c r="BX17" t="s">
        <v>171</v>
      </c>
      <c r="BY17" t="s">
        <v>173</v>
      </c>
      <c r="BZ17" t="s">
        <v>170</v>
      </c>
      <c r="CA17" t="s">
        <v>169</v>
      </c>
      <c r="CB17" t="s">
        <v>171</v>
      </c>
      <c r="CC17" t="s">
        <v>171</v>
      </c>
      <c r="CD17" t="s">
        <v>170</v>
      </c>
      <c r="CE17" t="s">
        <v>170</v>
      </c>
      <c r="CF17" t="s">
        <v>171</v>
      </c>
      <c r="CH17" t="s">
        <v>170</v>
      </c>
      <c r="CI17" t="s">
        <v>171</v>
      </c>
      <c r="CJ17" t="s">
        <v>171</v>
      </c>
      <c r="CK17" t="s">
        <v>172</v>
      </c>
      <c r="CL17" t="s">
        <v>207</v>
      </c>
      <c r="CM17" t="s">
        <v>175</v>
      </c>
      <c r="CN17" t="s">
        <v>175</v>
      </c>
      <c r="CO17">
        <v>31.054278002819821</v>
      </c>
      <c r="CP17">
        <v>35.017688845925299</v>
      </c>
      <c r="CQ17">
        <v>246.07229347826089</v>
      </c>
      <c r="CR17">
        <v>0.47761956521739118</v>
      </c>
      <c r="CS17">
        <v>9.3120422474224588E-3</v>
      </c>
      <c r="CT17">
        <v>1.7891081930354279E-2</v>
      </c>
    </row>
    <row r="18" spans="1:98">
      <c r="A18">
        <v>17</v>
      </c>
      <c r="B18" t="s">
        <v>149</v>
      </c>
      <c r="C18" t="s">
        <v>95</v>
      </c>
      <c r="D18">
        <v>40</v>
      </c>
      <c r="E18" t="s">
        <v>334</v>
      </c>
      <c r="F18" t="s">
        <v>245</v>
      </c>
      <c r="G18" s="1">
        <v>0.43765046296296289</v>
      </c>
      <c r="H18" s="11">
        <v>0.46527777777777779</v>
      </c>
      <c r="I18" s="1">
        <f t="shared" si="0"/>
        <v>0.46666666666666667</v>
      </c>
      <c r="J18">
        <v>378.40052285056561</v>
      </c>
      <c r="K18">
        <v>501.28062087972728</v>
      </c>
      <c r="L18">
        <v>58.292813186813191</v>
      </c>
      <c r="M18">
        <v>0.54318681318681261</v>
      </c>
      <c r="N18">
        <v>8.2007380362575065E-3</v>
      </c>
      <c r="O18">
        <v>1.9051559979670729E-2</v>
      </c>
      <c r="P18" s="1">
        <v>0.46696759259259257</v>
      </c>
      <c r="Q18" s="1">
        <v>0.46819444444444452</v>
      </c>
      <c r="R18">
        <v>7</v>
      </c>
      <c r="S18">
        <v>6</v>
      </c>
      <c r="T18">
        <v>387.28210673800783</v>
      </c>
      <c r="U18">
        <v>565.54629817956857</v>
      </c>
      <c r="V18">
        <v>53.536268292682927</v>
      </c>
      <c r="W18">
        <v>0.52590243902438993</v>
      </c>
      <c r="X18">
        <v>8.3934987645764795E-3</v>
      </c>
      <c r="Y18">
        <v>2.0676851384961191E-2</v>
      </c>
      <c r="Z18" s="1">
        <v>0.46820601851851851</v>
      </c>
      <c r="AA18" s="1">
        <v>0.46958333333333341</v>
      </c>
      <c r="AB18">
        <v>317.6653317057785</v>
      </c>
      <c r="AC18">
        <v>430.17974487791349</v>
      </c>
      <c r="AD18">
        <v>59.773872340425527</v>
      </c>
      <c r="AE18">
        <v>0.54580851063829805</v>
      </c>
      <c r="AF18">
        <v>8.2832377423255991E-3</v>
      </c>
      <c r="AG18">
        <v>1.9512732508659029E-2</v>
      </c>
      <c r="AH18" s="1">
        <v>0.46959490740740739</v>
      </c>
      <c r="AI18" s="1">
        <v>0.47033564814814821</v>
      </c>
      <c r="AJ18">
        <v>5</v>
      </c>
      <c r="AK18">
        <v>5</v>
      </c>
      <c r="AL18">
        <v>423.08439961242118</v>
      </c>
      <c r="AM18">
        <v>571.99264523846637</v>
      </c>
      <c r="AN18">
        <v>30.902541666666679</v>
      </c>
      <c r="AO18">
        <v>0.5222500000000001</v>
      </c>
      <c r="AP18">
        <v>7.9627807139588062E-3</v>
      </c>
      <c r="AQ18">
        <v>2.3789296251828459E-2</v>
      </c>
      <c r="AR18" s="1">
        <v>0.47034722222222219</v>
      </c>
      <c r="AS18" s="1">
        <v>0.47172453703703698</v>
      </c>
      <c r="AT18">
        <v>316.06941560691052</v>
      </c>
      <c r="AU18">
        <v>431.76119943011798</v>
      </c>
      <c r="AV18">
        <v>60.243045454545452</v>
      </c>
      <c r="AW18">
        <v>0.5080681818181817</v>
      </c>
      <c r="AX18">
        <v>8.4574587751223666E-3</v>
      </c>
      <c r="AY18">
        <v>2.032412471108996E-2</v>
      </c>
      <c r="AZ18" s="7">
        <v>0.47222222222222221</v>
      </c>
      <c r="BA18" s="7">
        <v>0.47430555555555548</v>
      </c>
      <c r="BB18" t="s">
        <v>257</v>
      </c>
      <c r="BC18" t="s">
        <v>556</v>
      </c>
      <c r="BD18" t="s">
        <v>557</v>
      </c>
      <c r="BE18" t="s">
        <v>131</v>
      </c>
      <c r="BF18" t="s">
        <v>558</v>
      </c>
      <c r="BG18" t="s">
        <v>105</v>
      </c>
      <c r="BH18" t="s">
        <v>106</v>
      </c>
      <c r="BI18" t="s">
        <v>131</v>
      </c>
      <c r="BJ18" t="s">
        <v>559</v>
      </c>
      <c r="BK18" t="s">
        <v>131</v>
      </c>
      <c r="BL18" t="s">
        <v>560</v>
      </c>
      <c r="BM18" t="s">
        <v>131</v>
      </c>
      <c r="BN18" t="s">
        <v>427</v>
      </c>
      <c r="BO18" t="s">
        <v>131</v>
      </c>
      <c r="BP18" t="s">
        <v>561</v>
      </c>
      <c r="BQ18" t="s">
        <v>105</v>
      </c>
      <c r="BR18" t="s">
        <v>106</v>
      </c>
      <c r="BS18" t="s">
        <v>131</v>
      </c>
      <c r="BT18" t="s">
        <v>562</v>
      </c>
      <c r="BU18" t="s">
        <v>122</v>
      </c>
      <c r="BV18" t="s">
        <v>106</v>
      </c>
      <c r="BW18" t="s">
        <v>123</v>
      </c>
      <c r="BX18" t="s">
        <v>111</v>
      </c>
      <c r="BY18" t="s">
        <v>123</v>
      </c>
      <c r="BZ18" t="s">
        <v>123</v>
      </c>
      <c r="CA18" t="s">
        <v>123</v>
      </c>
      <c r="CB18" t="s">
        <v>111</v>
      </c>
      <c r="CC18" t="s">
        <v>111</v>
      </c>
      <c r="CD18" t="s">
        <v>111</v>
      </c>
      <c r="CE18" t="s">
        <v>111</v>
      </c>
      <c r="CF18" t="s">
        <v>123</v>
      </c>
      <c r="CG18" t="s">
        <v>123</v>
      </c>
      <c r="CH18" t="s">
        <v>112</v>
      </c>
      <c r="CI18" t="s">
        <v>123</v>
      </c>
      <c r="CJ18" t="s">
        <v>123</v>
      </c>
      <c r="CK18" t="s">
        <v>123</v>
      </c>
      <c r="CL18" t="s">
        <v>124</v>
      </c>
      <c r="CM18" t="s">
        <v>117</v>
      </c>
      <c r="CN18" t="s">
        <v>155</v>
      </c>
      <c r="CO18">
        <v>381.57480699508221</v>
      </c>
      <c r="CP18">
        <v>521.21812452497932</v>
      </c>
      <c r="CQ18">
        <v>88.442031249999999</v>
      </c>
      <c r="CR18">
        <v>0.55229687500000124</v>
      </c>
      <c r="CS18">
        <v>9.7160718413836101E-3</v>
      </c>
      <c r="CT18">
        <v>2.0558239638707409E-2</v>
      </c>
    </row>
    <row r="19" spans="1:98">
      <c r="A19">
        <v>18</v>
      </c>
      <c r="B19" t="s">
        <v>99</v>
      </c>
      <c r="C19" t="s">
        <v>95</v>
      </c>
      <c r="D19">
        <v>25</v>
      </c>
      <c r="E19" t="s">
        <v>189</v>
      </c>
      <c r="F19" t="s">
        <v>245</v>
      </c>
      <c r="G19" s="1">
        <v>0.5720601851851852</v>
      </c>
      <c r="H19" s="1">
        <v>0.59722222222222221</v>
      </c>
      <c r="I19" s="1">
        <f t="shared" si="0"/>
        <v>0.59861111111111109</v>
      </c>
      <c r="J19">
        <v>326.09901248682411</v>
      </c>
      <c r="K19">
        <v>421.20135645219079</v>
      </c>
      <c r="L19">
        <v>59.294651162790693</v>
      </c>
      <c r="M19">
        <v>0.42697674418604648</v>
      </c>
      <c r="N19">
        <v>9.9314371826426592E-3</v>
      </c>
      <c r="O19">
        <v>2.3002678491828979E-2</v>
      </c>
      <c r="P19" s="1">
        <v>0.59880787037037042</v>
      </c>
      <c r="Q19" s="1">
        <v>0.59989583333333329</v>
      </c>
      <c r="R19">
        <v>7</v>
      </c>
      <c r="S19">
        <v>7</v>
      </c>
      <c r="T19">
        <v>411.78154414719808</v>
      </c>
      <c r="U19">
        <v>581.5785784029049</v>
      </c>
      <c r="V19">
        <v>46.905577464788728</v>
      </c>
      <c r="W19">
        <v>0.47369014084507061</v>
      </c>
      <c r="X19">
        <v>1.334414609209961E-2</v>
      </c>
      <c r="Y19">
        <v>2.9767037821906771E-2</v>
      </c>
      <c r="Z19" s="1">
        <v>0.6</v>
      </c>
      <c r="AA19" s="1">
        <v>0.60277777777777775</v>
      </c>
      <c r="AB19">
        <v>470.80041356371578</v>
      </c>
      <c r="AC19">
        <v>497.02464727617257</v>
      </c>
      <c r="AD19">
        <v>119.23718390804601</v>
      </c>
      <c r="AE19">
        <v>0.5322183908045991</v>
      </c>
      <c r="AF19">
        <v>1.1460653350792639E-2</v>
      </c>
      <c r="AG19">
        <v>2.2207599240969569E-2</v>
      </c>
      <c r="AH19" s="1">
        <v>0.60295138888888888</v>
      </c>
      <c r="AI19" s="1">
        <v>0.6040740740740741</v>
      </c>
      <c r="AJ19">
        <v>4</v>
      </c>
      <c r="AK19">
        <v>3</v>
      </c>
      <c r="AL19">
        <v>406.26001853222829</v>
      </c>
      <c r="AM19">
        <v>529.76634562076435</v>
      </c>
      <c r="AN19">
        <v>47.598972222222223</v>
      </c>
      <c r="AO19">
        <v>0.47391666666666638</v>
      </c>
      <c r="AP19">
        <v>1.2326778474589189E-2</v>
      </c>
      <c r="AQ19">
        <v>2.7829792268801491E-2</v>
      </c>
      <c r="AR19" s="1">
        <v>0.60416666666666663</v>
      </c>
      <c r="AS19" s="1">
        <v>0.60555555555555551</v>
      </c>
      <c r="AT19">
        <v>313.55190957798482</v>
      </c>
      <c r="AU19">
        <v>511.07533691228241</v>
      </c>
      <c r="AV19">
        <v>58.200704545454549</v>
      </c>
      <c r="AW19">
        <v>0.51831818181818146</v>
      </c>
      <c r="AX19">
        <v>1.1564286123960909E-2</v>
      </c>
      <c r="AY19">
        <v>2.5146184083564171E-2</v>
      </c>
      <c r="AZ19" s="7">
        <v>0.60555555555555551</v>
      </c>
      <c r="BA19" s="7">
        <v>0.60972222222222228</v>
      </c>
      <c r="BB19" t="s">
        <v>139</v>
      </c>
      <c r="BC19" t="s">
        <v>563</v>
      </c>
      <c r="BD19" t="s">
        <v>564</v>
      </c>
      <c r="BE19" t="s">
        <v>105</v>
      </c>
      <c r="BF19" t="s">
        <v>105</v>
      </c>
      <c r="BG19" t="s">
        <v>105</v>
      </c>
      <c r="BH19" t="s">
        <v>105</v>
      </c>
      <c r="BI19" t="s">
        <v>101</v>
      </c>
      <c r="BJ19" t="s">
        <v>565</v>
      </c>
      <c r="BK19" t="s">
        <v>101</v>
      </c>
      <c r="BL19" t="s">
        <v>566</v>
      </c>
      <c r="BM19" t="s">
        <v>101</v>
      </c>
      <c r="BN19" t="s">
        <v>567</v>
      </c>
      <c r="BO19" t="s">
        <v>101</v>
      </c>
      <c r="BP19" t="s">
        <v>568</v>
      </c>
      <c r="BQ19" t="s">
        <v>105</v>
      </c>
      <c r="BR19" t="s">
        <v>105</v>
      </c>
      <c r="BS19" t="s">
        <v>101</v>
      </c>
      <c r="BT19" t="s">
        <v>569</v>
      </c>
      <c r="BU19" t="s">
        <v>122</v>
      </c>
      <c r="BV19" t="s">
        <v>570</v>
      </c>
      <c r="BW19" t="s">
        <v>112</v>
      </c>
      <c r="BX19" t="s">
        <v>123</v>
      </c>
      <c r="BY19" t="s">
        <v>123</v>
      </c>
      <c r="BZ19" t="s">
        <v>123</v>
      </c>
      <c r="CA19" t="s">
        <v>123</v>
      </c>
      <c r="CB19" t="s">
        <v>111</v>
      </c>
      <c r="CC19" t="s">
        <v>123</v>
      </c>
      <c r="CD19" t="s">
        <v>123</v>
      </c>
      <c r="CE19" t="s">
        <v>123</v>
      </c>
      <c r="CF19" t="s">
        <v>111</v>
      </c>
      <c r="CG19" t="s">
        <v>123</v>
      </c>
      <c r="CH19" t="s">
        <v>123</v>
      </c>
      <c r="CI19" t="s">
        <v>111</v>
      </c>
      <c r="CJ19" t="s">
        <v>111</v>
      </c>
      <c r="CK19" t="s">
        <v>123</v>
      </c>
      <c r="CL19" t="s">
        <v>124</v>
      </c>
      <c r="CM19" t="s">
        <v>124</v>
      </c>
      <c r="CN19" t="s">
        <v>124</v>
      </c>
      <c r="CO19">
        <v>439.5981759622801</v>
      </c>
      <c r="CP19">
        <v>581.03987241267487</v>
      </c>
      <c r="CQ19">
        <v>180.44681203007519</v>
      </c>
      <c r="CR19">
        <v>0.51192481203007512</v>
      </c>
      <c r="CS19">
        <v>1.010735836549982E-2</v>
      </c>
      <c r="CT19">
        <v>1.9108025878432099E-2</v>
      </c>
    </row>
    <row r="20" spans="1:98">
      <c r="A20">
        <v>19</v>
      </c>
      <c r="B20" t="s">
        <v>118</v>
      </c>
      <c r="C20" t="s">
        <v>95</v>
      </c>
      <c r="D20">
        <v>19</v>
      </c>
      <c r="E20" t="s">
        <v>138</v>
      </c>
      <c r="F20" t="s">
        <v>245</v>
      </c>
      <c r="G20" s="1">
        <v>0.64271990740740736</v>
      </c>
      <c r="H20" s="1">
        <v>0.66666666666666663</v>
      </c>
      <c r="I20" s="1">
        <f t="shared" si="0"/>
        <v>0.66805555555555551</v>
      </c>
      <c r="J20">
        <v>242.76920910380849</v>
      </c>
      <c r="K20">
        <v>372.58556064345743</v>
      </c>
      <c r="L20">
        <v>58.76956818181818</v>
      </c>
      <c r="M20">
        <v>0.47843181818181818</v>
      </c>
      <c r="N20">
        <v>1.248707692442954E-2</v>
      </c>
      <c r="O20">
        <v>3.2228422384972408E-2</v>
      </c>
      <c r="P20" s="1">
        <v>0.66820601851851846</v>
      </c>
      <c r="Q20" s="1">
        <v>0.66856481481481478</v>
      </c>
      <c r="R20">
        <v>3</v>
      </c>
      <c r="S20">
        <v>2</v>
      </c>
      <c r="T20">
        <v>230.7316213289393</v>
      </c>
      <c r="U20">
        <v>286.84296904210288</v>
      </c>
      <c r="V20">
        <v>14.69230769230769</v>
      </c>
      <c r="W20">
        <v>0.5783076923076923</v>
      </c>
      <c r="X20">
        <v>2.5399892439418731E-2</v>
      </c>
      <c r="Y20">
        <v>6.7249345994733853E-2</v>
      </c>
      <c r="Z20" s="1">
        <v>0.66857638888888893</v>
      </c>
      <c r="AA20" s="1">
        <v>0.66962962962962957</v>
      </c>
      <c r="AB20">
        <v>130.3197805739608</v>
      </c>
      <c r="AC20">
        <v>144.54681531663709</v>
      </c>
      <c r="AD20">
        <v>44.50381818181819</v>
      </c>
      <c r="AE20">
        <v>0.56615151515151463</v>
      </c>
      <c r="AF20">
        <v>1.180500575081524E-2</v>
      </c>
      <c r="AG20">
        <v>3.5179874566004327E-2</v>
      </c>
      <c r="AH20" s="1">
        <v>0.66964120370370372</v>
      </c>
      <c r="AI20" s="1">
        <v>0.67072916666666671</v>
      </c>
      <c r="AJ20">
        <v>6</v>
      </c>
      <c r="AK20">
        <v>6</v>
      </c>
      <c r="AL20">
        <v>122.44611635791679</v>
      </c>
      <c r="AM20">
        <v>164.17855064297541</v>
      </c>
      <c r="AN20">
        <v>47.411722222222217</v>
      </c>
      <c r="AO20">
        <v>0.49058333333333309</v>
      </c>
      <c r="AP20">
        <v>1.172578322682684E-2</v>
      </c>
      <c r="AQ20">
        <v>3.1804930041975633E-2</v>
      </c>
      <c r="AR20" s="1">
        <v>0.67083333333333328</v>
      </c>
      <c r="AS20" s="1">
        <v>0.67222222222222228</v>
      </c>
      <c r="AT20">
        <v>112.4378951461681</v>
      </c>
      <c r="AU20">
        <v>109.812081909658</v>
      </c>
      <c r="AV20">
        <v>59.853793103448282</v>
      </c>
      <c r="AW20">
        <v>0.51227586206896547</v>
      </c>
      <c r="AX20">
        <v>1.120903064367517E-2</v>
      </c>
      <c r="AY20">
        <v>3.079203379137007E-2</v>
      </c>
      <c r="AZ20" s="7">
        <v>0.67222222222222228</v>
      </c>
      <c r="BA20" s="7">
        <v>0.67291666666666672</v>
      </c>
      <c r="BB20" t="s">
        <v>105</v>
      </c>
      <c r="BC20" t="s">
        <v>105</v>
      </c>
      <c r="BD20" t="s">
        <v>571</v>
      </c>
      <c r="BE20" t="s">
        <v>105</v>
      </c>
      <c r="BF20" t="s">
        <v>105</v>
      </c>
      <c r="BG20" t="s">
        <v>105</v>
      </c>
      <c r="BH20" t="s">
        <v>105</v>
      </c>
      <c r="BI20" t="s">
        <v>105</v>
      </c>
      <c r="BJ20" t="s">
        <v>105</v>
      </c>
      <c r="BK20" t="s">
        <v>105</v>
      </c>
      <c r="BL20" t="s">
        <v>105</v>
      </c>
      <c r="BM20" t="s">
        <v>105</v>
      </c>
      <c r="BN20" t="s">
        <v>105</v>
      </c>
      <c r="BO20" t="s">
        <v>105</v>
      </c>
      <c r="BP20" t="s">
        <v>105</v>
      </c>
      <c r="BQ20" t="s">
        <v>105</v>
      </c>
      <c r="BR20" t="s">
        <v>105</v>
      </c>
      <c r="BS20" t="s">
        <v>105</v>
      </c>
      <c r="BT20" t="s">
        <v>105</v>
      </c>
      <c r="BU20" t="s">
        <v>279</v>
      </c>
      <c r="BV20" t="s">
        <v>105</v>
      </c>
      <c r="BW20" t="s">
        <v>123</v>
      </c>
      <c r="BX20" t="s">
        <v>123</v>
      </c>
      <c r="BY20" t="s">
        <v>123</v>
      </c>
      <c r="BZ20" t="s">
        <v>123</v>
      </c>
      <c r="CA20" t="s">
        <v>111</v>
      </c>
      <c r="CB20" t="s">
        <v>123</v>
      </c>
      <c r="CC20" t="s">
        <v>123</v>
      </c>
      <c r="CD20" t="s">
        <v>114</v>
      </c>
      <c r="CE20" t="s">
        <v>111</v>
      </c>
      <c r="CF20" t="s">
        <v>123</v>
      </c>
      <c r="CG20" t="s">
        <v>123</v>
      </c>
      <c r="CH20" t="s">
        <v>123</v>
      </c>
      <c r="CI20" t="s">
        <v>112</v>
      </c>
      <c r="CJ20" t="s">
        <v>123</v>
      </c>
      <c r="CK20" t="s">
        <v>111</v>
      </c>
      <c r="CL20" t="s">
        <v>124</v>
      </c>
      <c r="CM20" t="s">
        <v>116</v>
      </c>
      <c r="CN20" t="s">
        <v>116</v>
      </c>
      <c r="CO20">
        <v>91.776561669516042</v>
      </c>
      <c r="CP20">
        <v>68.533089188548402</v>
      </c>
      <c r="CQ20">
        <v>58.858390804597697</v>
      </c>
      <c r="CR20">
        <v>0.4922758620689654</v>
      </c>
      <c r="CS20">
        <v>1.114671813405005E-2</v>
      </c>
      <c r="CT20">
        <v>2.9767624218669839E-2</v>
      </c>
    </row>
    <row r="21" spans="1:98">
      <c r="A21">
        <v>20</v>
      </c>
      <c r="B21" t="s">
        <v>99</v>
      </c>
      <c r="C21" t="s">
        <v>95</v>
      </c>
      <c r="D21">
        <v>23</v>
      </c>
      <c r="E21" t="s">
        <v>156</v>
      </c>
      <c r="F21" t="s">
        <v>280</v>
      </c>
      <c r="G21" s="1">
        <v>0.55004629629629631</v>
      </c>
      <c r="H21" s="1">
        <v>0.57222222222222219</v>
      </c>
      <c r="I21" s="1">
        <f t="shared" si="0"/>
        <v>0.57361111111111107</v>
      </c>
      <c r="J21">
        <v>187.0140057984423</v>
      </c>
      <c r="K21">
        <v>263.32618412395442</v>
      </c>
      <c r="L21">
        <v>53.775320754716986</v>
      </c>
      <c r="M21">
        <v>0.52158490566037774</v>
      </c>
      <c r="N21">
        <v>4.2609282082687633E-2</v>
      </c>
      <c r="O21">
        <v>0.1154354275979264</v>
      </c>
      <c r="P21" s="1">
        <v>0.57384259259259263</v>
      </c>
      <c r="Q21" s="1">
        <v>0.57501157407407411</v>
      </c>
      <c r="R21">
        <v>7</v>
      </c>
      <c r="S21">
        <v>7</v>
      </c>
      <c r="T21">
        <v>54.687267902991522</v>
      </c>
      <c r="U21">
        <v>77.663358898752364</v>
      </c>
      <c r="V21">
        <v>45.613531250000001</v>
      </c>
      <c r="W21">
        <v>0.5048437499999997</v>
      </c>
      <c r="X21">
        <v>2.5383267069258451E-2</v>
      </c>
      <c r="Y21">
        <v>8.9409261608744822E-2</v>
      </c>
      <c r="Z21" s="1">
        <v>0.57502314814814814</v>
      </c>
      <c r="AA21" s="1">
        <v>0.57640046296296299</v>
      </c>
      <c r="AB21">
        <v>37.791303081501091</v>
      </c>
      <c r="AC21">
        <v>42.680632184123603</v>
      </c>
      <c r="AD21">
        <v>56.045028571428567</v>
      </c>
      <c r="AE21">
        <v>0.53122857142857127</v>
      </c>
      <c r="AF21">
        <v>3.1758239057236071E-2</v>
      </c>
      <c r="AG21">
        <v>9.4893462861193115E-2</v>
      </c>
      <c r="AH21" s="1">
        <v>0.57657407407407413</v>
      </c>
      <c r="AI21" s="1">
        <v>0.57785879629629633</v>
      </c>
      <c r="AJ21">
        <v>7</v>
      </c>
      <c r="AK21">
        <v>6</v>
      </c>
      <c r="AL21">
        <v>41.90252363946567</v>
      </c>
      <c r="AM21">
        <v>38.032598223200218</v>
      </c>
      <c r="AN21">
        <v>55.105081081081082</v>
      </c>
      <c r="AO21">
        <v>0.4536216216216214</v>
      </c>
      <c r="AP21">
        <v>2.5007984668400651E-2</v>
      </c>
      <c r="AQ21">
        <v>7.0455054051959135E-2</v>
      </c>
      <c r="AR21" s="1">
        <v>0.57787037037037037</v>
      </c>
      <c r="AS21" s="1">
        <v>0.57924768518518521</v>
      </c>
      <c r="AT21">
        <v>34.079825242925367</v>
      </c>
      <c r="AU21">
        <v>15.42107401608348</v>
      </c>
      <c r="AV21">
        <v>56.37305555555556</v>
      </c>
      <c r="AW21">
        <v>0.50919444444444384</v>
      </c>
      <c r="AX21">
        <v>3.2976241950140407E-2</v>
      </c>
      <c r="AY21">
        <v>9.2369998815350088E-2</v>
      </c>
      <c r="AZ21" s="7">
        <v>0.57916666666666672</v>
      </c>
      <c r="BA21" s="7">
        <v>0.58263888888888893</v>
      </c>
      <c r="BB21" t="s">
        <v>139</v>
      </c>
      <c r="BC21" t="s">
        <v>572</v>
      </c>
      <c r="BD21" t="s">
        <v>573</v>
      </c>
      <c r="BE21" t="s">
        <v>133</v>
      </c>
      <c r="BF21" t="s">
        <v>133</v>
      </c>
      <c r="BG21" t="s">
        <v>101</v>
      </c>
      <c r="BH21" t="s">
        <v>574</v>
      </c>
      <c r="BI21" t="s">
        <v>101</v>
      </c>
      <c r="BJ21" t="s">
        <v>575</v>
      </c>
      <c r="BK21" t="s">
        <v>101</v>
      </c>
      <c r="BL21" t="s">
        <v>576</v>
      </c>
      <c r="BM21" t="s">
        <v>131</v>
      </c>
      <c r="BN21" t="s">
        <v>577</v>
      </c>
      <c r="BO21" t="s">
        <v>133</v>
      </c>
      <c r="BP21" t="s">
        <v>133</v>
      </c>
      <c r="BQ21" t="s">
        <v>133</v>
      </c>
      <c r="BR21" t="s">
        <v>133</v>
      </c>
      <c r="BS21" t="s">
        <v>133</v>
      </c>
      <c r="BT21" t="s">
        <v>133</v>
      </c>
      <c r="BU21" t="s">
        <v>192</v>
      </c>
      <c r="BV21" t="s">
        <v>578</v>
      </c>
      <c r="BW21" t="s">
        <v>123</v>
      </c>
      <c r="BX21" t="s">
        <v>111</v>
      </c>
      <c r="BY21" t="s">
        <v>111</v>
      </c>
      <c r="BZ21" t="s">
        <v>112</v>
      </c>
      <c r="CA21" t="s">
        <v>123</v>
      </c>
      <c r="CB21" t="s">
        <v>112</v>
      </c>
      <c r="CC21" t="s">
        <v>111</v>
      </c>
      <c r="CD21" t="s">
        <v>112</v>
      </c>
      <c r="CE21" t="s">
        <v>111</v>
      </c>
      <c r="CF21" t="s">
        <v>112</v>
      </c>
      <c r="CG21" t="s">
        <v>111</v>
      </c>
      <c r="CH21" t="s">
        <v>111</v>
      </c>
      <c r="CI21" t="s">
        <v>112</v>
      </c>
      <c r="CJ21" t="s">
        <v>112</v>
      </c>
      <c r="CK21" t="s">
        <v>111</v>
      </c>
      <c r="CL21" t="s">
        <v>155</v>
      </c>
      <c r="CM21" t="s">
        <v>124</v>
      </c>
      <c r="CN21" t="s">
        <v>117</v>
      </c>
      <c r="CO21">
        <v>83.963420610656655</v>
      </c>
      <c r="CP21">
        <v>103.9136412750953</v>
      </c>
      <c r="CQ21">
        <v>151.5232954545454</v>
      </c>
      <c r="CR21">
        <v>0.53755681818181889</v>
      </c>
      <c r="CS21">
        <v>4.1746024398825327E-2</v>
      </c>
      <c r="CT21">
        <v>8.8096902877553798E-2</v>
      </c>
    </row>
    <row r="22" spans="1:98">
      <c r="A22">
        <v>21</v>
      </c>
      <c r="B22" t="s">
        <v>99</v>
      </c>
      <c r="C22" t="s">
        <v>95</v>
      </c>
      <c r="D22">
        <v>23</v>
      </c>
      <c r="E22" t="s">
        <v>189</v>
      </c>
      <c r="F22" t="s">
        <v>283</v>
      </c>
      <c r="G22" s="1">
        <v>0.41842592592592592</v>
      </c>
      <c r="H22" s="1">
        <v>0.4513888888888889</v>
      </c>
      <c r="I22" s="1">
        <f t="shared" si="0"/>
        <v>0.45277777777777778</v>
      </c>
      <c r="J22">
        <v>44.268600186502688</v>
      </c>
      <c r="K22">
        <v>25.84827524871579</v>
      </c>
      <c r="L22">
        <v>58.05180952380951</v>
      </c>
      <c r="M22">
        <v>0.48714285714285621</v>
      </c>
      <c r="N22">
        <v>1.307482777613962E-2</v>
      </c>
      <c r="O22">
        <v>2.9246974387240481E-2</v>
      </c>
      <c r="P22" s="1">
        <v>0.45320601851851849</v>
      </c>
      <c r="Q22" s="1">
        <v>0.4544097222222222</v>
      </c>
      <c r="R22">
        <v>8</v>
      </c>
      <c r="S22">
        <v>8</v>
      </c>
      <c r="T22">
        <v>68.593070652476584</v>
      </c>
      <c r="U22">
        <v>49.700618860850327</v>
      </c>
      <c r="V22">
        <v>51.98223076923076</v>
      </c>
      <c r="W22">
        <v>0.46266666666666678</v>
      </c>
      <c r="X22">
        <v>1.378498741236602E-2</v>
      </c>
      <c r="Y22">
        <v>3.0171702093127539E-2</v>
      </c>
      <c r="Z22" s="1">
        <v>0.4544212962962963</v>
      </c>
      <c r="AA22" s="1">
        <v>0.45598379629629632</v>
      </c>
      <c r="AB22">
        <v>65.907250924853471</v>
      </c>
      <c r="AC22">
        <v>25.456357630086138</v>
      </c>
      <c r="AD22">
        <v>57.877550561797747</v>
      </c>
      <c r="AE22">
        <v>0.52417977528089921</v>
      </c>
      <c r="AF22">
        <v>1.3048728040108809E-2</v>
      </c>
      <c r="AG22">
        <v>2.8781313338150691E-2</v>
      </c>
      <c r="AH22" s="1">
        <v>0.45599537037037041</v>
      </c>
      <c r="AI22" s="1">
        <v>0.45703703703703702</v>
      </c>
      <c r="AJ22">
        <v>7</v>
      </c>
      <c r="AK22">
        <v>7</v>
      </c>
      <c r="AL22">
        <v>69.605782297270068</v>
      </c>
      <c r="AM22">
        <v>41.310077735615387</v>
      </c>
      <c r="AN22">
        <v>44.802123076923067</v>
      </c>
      <c r="AO22">
        <v>0.51538461538461577</v>
      </c>
      <c r="AP22">
        <v>1.398539502001854E-2</v>
      </c>
      <c r="AQ22">
        <v>3.2486703929987377E-2</v>
      </c>
      <c r="AR22" s="1">
        <v>0.45704861111111111</v>
      </c>
      <c r="AS22" s="1">
        <v>0.4584259259259259</v>
      </c>
      <c r="AT22">
        <v>75.885913229171791</v>
      </c>
      <c r="AU22">
        <v>37.594092481049898</v>
      </c>
      <c r="AV22">
        <v>55.058197530864199</v>
      </c>
      <c r="AW22">
        <v>0.56182716049382664</v>
      </c>
      <c r="AX22">
        <v>1.1606655609167351E-2</v>
      </c>
      <c r="AY22">
        <v>2.6809582074914691E-2</v>
      </c>
      <c r="AZ22" s="7">
        <v>0.45833333333333331</v>
      </c>
      <c r="BA22" s="7">
        <v>0.4597222222222222</v>
      </c>
      <c r="BB22" t="s">
        <v>161</v>
      </c>
      <c r="BC22" t="s">
        <v>198</v>
      </c>
      <c r="BD22" t="s">
        <v>198</v>
      </c>
      <c r="BE22" t="s">
        <v>161</v>
      </c>
      <c r="BF22" t="s">
        <v>159</v>
      </c>
      <c r="BG22" t="s">
        <v>161</v>
      </c>
      <c r="BH22" t="s">
        <v>159</v>
      </c>
      <c r="BI22" t="s">
        <v>162</v>
      </c>
      <c r="BJ22" t="s">
        <v>579</v>
      </c>
      <c r="BK22" t="s">
        <v>162</v>
      </c>
      <c r="BL22" t="s">
        <v>285</v>
      </c>
      <c r="BM22" t="s">
        <v>161</v>
      </c>
      <c r="BN22" t="s">
        <v>159</v>
      </c>
      <c r="BO22" t="s">
        <v>162</v>
      </c>
      <c r="BP22" t="s">
        <v>580</v>
      </c>
      <c r="BQ22" t="s">
        <v>161</v>
      </c>
      <c r="BR22" t="s">
        <v>159</v>
      </c>
      <c r="BS22" t="s">
        <v>161</v>
      </c>
      <c r="BT22" t="s">
        <v>159</v>
      </c>
      <c r="BU22" t="s">
        <v>360</v>
      </c>
      <c r="BV22" t="s">
        <v>161</v>
      </c>
      <c r="BW22" t="s">
        <v>171</v>
      </c>
      <c r="BX22" t="s">
        <v>173</v>
      </c>
      <c r="BY22" t="s">
        <v>173</v>
      </c>
      <c r="BZ22" t="s">
        <v>169</v>
      </c>
      <c r="CA22" t="s">
        <v>169</v>
      </c>
      <c r="CB22" t="s">
        <v>171</v>
      </c>
      <c r="CC22" t="s">
        <v>169</v>
      </c>
      <c r="CD22" t="s">
        <v>169</v>
      </c>
      <c r="CE22" t="s">
        <v>171</v>
      </c>
      <c r="CF22" t="s">
        <v>170</v>
      </c>
      <c r="CH22" t="s">
        <v>169</v>
      </c>
      <c r="CI22" t="s">
        <v>170</v>
      </c>
      <c r="CJ22" t="s">
        <v>170</v>
      </c>
      <c r="CK22" t="s">
        <v>171</v>
      </c>
      <c r="CL22" t="s">
        <v>194</v>
      </c>
      <c r="CM22" t="s">
        <v>175</v>
      </c>
      <c r="CN22" t="s">
        <v>194</v>
      </c>
      <c r="CO22">
        <v>40.89185579444986</v>
      </c>
      <c r="CP22">
        <v>27.794655190213781</v>
      </c>
      <c r="CQ22">
        <v>58.333977528089889</v>
      </c>
      <c r="CR22">
        <v>0.48292134831460698</v>
      </c>
      <c r="CS22">
        <v>1.265010581458062E-2</v>
      </c>
      <c r="CT22">
        <v>2.749228158477153E-2</v>
      </c>
    </row>
    <row r="23" spans="1:98">
      <c r="A23">
        <v>22</v>
      </c>
      <c r="B23" t="s">
        <v>99</v>
      </c>
      <c r="C23" t="s">
        <v>125</v>
      </c>
      <c r="D23">
        <v>25</v>
      </c>
      <c r="E23" t="s">
        <v>156</v>
      </c>
      <c r="F23" t="s">
        <v>287</v>
      </c>
      <c r="G23" s="1">
        <v>0.63670138888888894</v>
      </c>
      <c r="H23" s="1">
        <v>0.67222222222222228</v>
      </c>
      <c r="I23" s="1">
        <f t="shared" si="0"/>
        <v>0.67361111111111116</v>
      </c>
      <c r="J23">
        <v>126.4012122013564</v>
      </c>
      <c r="K23">
        <v>159.6331578903301</v>
      </c>
      <c r="L23">
        <v>58.722901098901097</v>
      </c>
      <c r="M23">
        <v>0.47017582417582521</v>
      </c>
      <c r="N23">
        <v>1.209990172794004E-2</v>
      </c>
      <c r="O23">
        <v>2.2827957586523281E-2</v>
      </c>
      <c r="P23" s="1">
        <v>0.67378472222222219</v>
      </c>
      <c r="Q23" s="1">
        <v>0.67494212962962963</v>
      </c>
      <c r="R23">
        <v>8</v>
      </c>
      <c r="S23">
        <v>8</v>
      </c>
      <c r="T23">
        <v>84.359380022775525</v>
      </c>
      <c r="U23">
        <v>101.484199435394</v>
      </c>
      <c r="V23">
        <v>50.491466666666668</v>
      </c>
      <c r="W23">
        <v>0.47981333333333281</v>
      </c>
      <c r="X23">
        <v>1.5502875533119079E-2</v>
      </c>
      <c r="Y23">
        <v>2.6827100494913419E-2</v>
      </c>
      <c r="Z23" s="1">
        <v>0.67500000000000004</v>
      </c>
      <c r="AA23" s="1">
        <v>0.67638888888888893</v>
      </c>
      <c r="AB23">
        <v>83.002584212980892</v>
      </c>
      <c r="AC23">
        <v>91.22884797421591</v>
      </c>
      <c r="AD23">
        <v>60.199123595505618</v>
      </c>
      <c r="AE23">
        <v>0.46937078651685438</v>
      </c>
      <c r="AF23">
        <v>1.437997548314927E-2</v>
      </c>
      <c r="AG23">
        <v>2.4524005745698869E-2</v>
      </c>
      <c r="AH23" s="1">
        <v>0.67656249999999996</v>
      </c>
      <c r="AI23" s="1">
        <v>0.6776388888888889</v>
      </c>
      <c r="AJ23">
        <v>7</v>
      </c>
      <c r="AK23">
        <v>7</v>
      </c>
      <c r="AL23">
        <v>66.342776431758907</v>
      </c>
      <c r="AM23">
        <v>81.713123075542057</v>
      </c>
      <c r="AN23">
        <v>45.976264705882357</v>
      </c>
      <c r="AO23">
        <v>0.55591176470588199</v>
      </c>
      <c r="AP23">
        <v>1.640818742709587E-2</v>
      </c>
      <c r="AQ23">
        <v>2.7007565574477171E-2</v>
      </c>
      <c r="AR23" s="1">
        <v>0.67777777777777781</v>
      </c>
      <c r="AS23" s="1">
        <v>0.6791666666666667</v>
      </c>
      <c r="AT23">
        <v>181.6284312885557</v>
      </c>
      <c r="AU23">
        <v>227.10276675255699</v>
      </c>
      <c r="AV23">
        <v>61.315842696629218</v>
      </c>
      <c r="AW23">
        <v>0.48408988764045008</v>
      </c>
      <c r="AX23">
        <v>1.558843401751134E-2</v>
      </c>
      <c r="AY23">
        <v>2.6676531918797139E-2</v>
      </c>
      <c r="AZ23" s="7">
        <v>0.6791666666666667</v>
      </c>
      <c r="BA23" s="7">
        <v>0.68402777777777779</v>
      </c>
      <c r="BB23" t="s">
        <v>178</v>
      </c>
      <c r="BC23" t="s">
        <v>178</v>
      </c>
      <c r="BD23" t="s">
        <v>178</v>
      </c>
      <c r="BE23" t="s">
        <v>178</v>
      </c>
      <c r="BF23" t="s">
        <v>159</v>
      </c>
      <c r="BG23" t="s">
        <v>178</v>
      </c>
      <c r="BH23" t="s">
        <v>159</v>
      </c>
      <c r="BI23" t="s">
        <v>179</v>
      </c>
      <c r="BJ23" t="s">
        <v>581</v>
      </c>
      <c r="BK23" t="s">
        <v>178</v>
      </c>
      <c r="BL23" t="s">
        <v>159</v>
      </c>
      <c r="BM23" t="s">
        <v>179</v>
      </c>
      <c r="BN23" t="s">
        <v>582</v>
      </c>
      <c r="BO23" t="s">
        <v>179</v>
      </c>
      <c r="BP23" t="s">
        <v>583</v>
      </c>
      <c r="BQ23" t="s">
        <v>179</v>
      </c>
      <c r="BR23" t="s">
        <v>584</v>
      </c>
      <c r="BS23" t="s">
        <v>178</v>
      </c>
      <c r="BT23" t="s">
        <v>159</v>
      </c>
      <c r="BU23" t="s">
        <v>389</v>
      </c>
      <c r="BV23" t="s">
        <v>178</v>
      </c>
      <c r="BW23" t="s">
        <v>169</v>
      </c>
      <c r="BX23" t="s">
        <v>171</v>
      </c>
      <c r="BY23" t="s">
        <v>169</v>
      </c>
      <c r="BZ23" t="s">
        <v>170</v>
      </c>
      <c r="CA23" t="s">
        <v>169</v>
      </c>
      <c r="CB23" t="s">
        <v>169</v>
      </c>
      <c r="CC23" t="s">
        <v>171</v>
      </c>
      <c r="CD23" t="s">
        <v>169</v>
      </c>
      <c r="CE23" t="s">
        <v>170</v>
      </c>
      <c r="CF23" t="s">
        <v>170</v>
      </c>
      <c r="CH23" t="s">
        <v>169</v>
      </c>
      <c r="CI23" t="s">
        <v>170</v>
      </c>
      <c r="CJ23" t="s">
        <v>170</v>
      </c>
      <c r="CK23" t="s">
        <v>170</v>
      </c>
      <c r="CL23" t="s">
        <v>208</v>
      </c>
      <c r="CM23" t="s">
        <v>175</v>
      </c>
      <c r="CN23" t="s">
        <v>194</v>
      </c>
      <c r="CO23">
        <v>85.612688007202706</v>
      </c>
      <c r="CP23">
        <v>102.0396880063667</v>
      </c>
      <c r="CQ23">
        <v>208.64146520146519</v>
      </c>
      <c r="CR23">
        <v>0.52263736263736116</v>
      </c>
      <c r="CS23">
        <v>2.4422672281568799E-2</v>
      </c>
      <c r="CT23">
        <v>3.7141007506518831E-2</v>
      </c>
    </row>
    <row r="24" spans="1:98" s="15" customFormat="1">
      <c r="A24">
        <v>23</v>
      </c>
      <c r="B24" t="s">
        <v>99</v>
      </c>
      <c r="C24" t="s">
        <v>95</v>
      </c>
      <c r="D24">
        <v>25</v>
      </c>
      <c r="E24" t="s">
        <v>334</v>
      </c>
      <c r="F24" s="15" t="s">
        <v>299</v>
      </c>
      <c r="G24" s="14">
        <v>0.58777777777777773</v>
      </c>
      <c r="H24" s="14">
        <v>0.60902777777777772</v>
      </c>
      <c r="I24" s="14">
        <f t="shared" si="0"/>
        <v>0.61041666666666661</v>
      </c>
      <c r="J24">
        <v>42.500125996157379</v>
      </c>
      <c r="K24">
        <v>42.350657979450979</v>
      </c>
      <c r="L24">
        <v>58.44590909090909</v>
      </c>
      <c r="M24">
        <v>0.52325000000000044</v>
      </c>
      <c r="N24">
        <v>1.6125938357117751E-2</v>
      </c>
      <c r="O24">
        <v>4.3059655651280677E-2</v>
      </c>
      <c r="P24" s="14">
        <v>0.61062499999999997</v>
      </c>
      <c r="Q24" s="14">
        <v>0.61136574074074079</v>
      </c>
      <c r="R24" s="15">
        <v>6</v>
      </c>
      <c r="S24" s="15">
        <v>5</v>
      </c>
      <c r="T24">
        <v>48.000708867594881</v>
      </c>
      <c r="U24">
        <v>63.508140821608187</v>
      </c>
      <c r="V24">
        <v>39.998666666666672</v>
      </c>
      <c r="W24">
        <v>0.249999999999999</v>
      </c>
      <c r="X24">
        <v>1.138697307963594</v>
      </c>
      <c r="Y24">
        <v>1.660405095131201</v>
      </c>
      <c r="Z24" s="14">
        <v>0.61136574074074079</v>
      </c>
      <c r="AA24" s="14">
        <v>0.61250000000000004</v>
      </c>
      <c r="AB24">
        <v>62.70268601730222</v>
      </c>
      <c r="AC24">
        <v>70.560468117898694</v>
      </c>
      <c r="AD24">
        <v>47.517454545454548</v>
      </c>
      <c r="AE24">
        <v>0.51999999999999946</v>
      </c>
      <c r="AF24">
        <v>2.6433263407079719E-2</v>
      </c>
      <c r="AG24">
        <v>6.3248463242448108E-2</v>
      </c>
    </row>
    <row r="25" spans="1:98">
      <c r="A25">
        <v>24</v>
      </c>
      <c r="B25" t="s">
        <v>99</v>
      </c>
      <c r="C25" t="s">
        <v>95</v>
      </c>
      <c r="D25">
        <v>27</v>
      </c>
      <c r="E25" t="s">
        <v>119</v>
      </c>
      <c r="F25" t="s">
        <v>304</v>
      </c>
      <c r="G25" s="1">
        <v>0.73119212962962965</v>
      </c>
      <c r="H25" s="1">
        <v>0.76111111111111107</v>
      </c>
      <c r="I25" s="1">
        <f t="shared" si="0"/>
        <v>0.76249999999999996</v>
      </c>
      <c r="J25">
        <v>333.94702066737011</v>
      </c>
      <c r="K25">
        <v>499.33779571972627</v>
      </c>
      <c r="L25">
        <v>59.15832183908045</v>
      </c>
      <c r="M25">
        <v>0.46071264367816023</v>
      </c>
      <c r="N25">
        <v>1.3508266287114649E-2</v>
      </c>
      <c r="O25">
        <v>2.510885721479646E-2</v>
      </c>
      <c r="P25" s="1">
        <v>0.76277777777777778</v>
      </c>
      <c r="Q25" s="1">
        <v>0.76388888888888884</v>
      </c>
      <c r="R25">
        <v>7</v>
      </c>
      <c r="S25">
        <v>7</v>
      </c>
      <c r="T25">
        <v>43.30843466139725</v>
      </c>
      <c r="U25">
        <v>27.3263749742035</v>
      </c>
      <c r="V25">
        <v>47.814305555555549</v>
      </c>
      <c r="W25">
        <v>0.55286111111111103</v>
      </c>
      <c r="X25">
        <v>1.3850978386593431E-2</v>
      </c>
      <c r="Y25">
        <v>2.5945804290312301E-2</v>
      </c>
      <c r="Z25" s="1">
        <v>0.76390046296296299</v>
      </c>
      <c r="AA25" s="1">
        <v>0.76527777777777772</v>
      </c>
      <c r="AB25">
        <v>424.3323519772087</v>
      </c>
      <c r="AC25">
        <v>415.06463492182922</v>
      </c>
      <c r="AD25">
        <v>59.888373626373621</v>
      </c>
      <c r="AE25">
        <v>0.50131868131868118</v>
      </c>
      <c r="AF25">
        <v>1.376795957628822E-2</v>
      </c>
      <c r="AG25">
        <v>2.5475056238436929E-2</v>
      </c>
      <c r="AH25" s="1">
        <v>0.76547453703703705</v>
      </c>
      <c r="AI25" s="1">
        <v>0.7666898148148148</v>
      </c>
      <c r="AJ25">
        <v>6</v>
      </c>
      <c r="AK25">
        <v>6</v>
      </c>
      <c r="AL25">
        <v>67.408576118444557</v>
      </c>
      <c r="AM25">
        <v>89.057080776115924</v>
      </c>
      <c r="AN25">
        <v>52.899051282051282</v>
      </c>
      <c r="AO25">
        <v>0.44433333333333352</v>
      </c>
      <c r="AP25">
        <v>1.331178965990739E-2</v>
      </c>
      <c r="AQ25">
        <v>2.5337376925201788E-2</v>
      </c>
      <c r="AR25" s="1">
        <v>0.76670138888888884</v>
      </c>
      <c r="AS25" s="1">
        <v>0.7680555555555556</v>
      </c>
      <c r="AT25">
        <v>184.91293464986441</v>
      </c>
      <c r="AU25">
        <v>246.2662773606645</v>
      </c>
      <c r="AV25">
        <v>57.762240963855419</v>
      </c>
      <c r="AW25">
        <v>0.52910843373493999</v>
      </c>
      <c r="AX25">
        <v>1.3652673055369021E-2</v>
      </c>
      <c r="AY25">
        <v>2.590790812839696E-2</v>
      </c>
      <c r="AZ25" s="7">
        <v>0.7680555555555556</v>
      </c>
      <c r="BA25" s="7">
        <v>0.77152777777777781</v>
      </c>
      <c r="BB25" t="s">
        <v>178</v>
      </c>
      <c r="BC25" t="s">
        <v>178</v>
      </c>
      <c r="BD25" t="s">
        <v>178</v>
      </c>
      <c r="BE25" t="s">
        <v>178</v>
      </c>
      <c r="BF25" t="s">
        <v>159</v>
      </c>
      <c r="BG25" t="s">
        <v>179</v>
      </c>
      <c r="BH25" t="s">
        <v>585</v>
      </c>
      <c r="BI25" t="s">
        <v>178</v>
      </c>
      <c r="BJ25" t="s">
        <v>159</v>
      </c>
      <c r="BK25" t="s">
        <v>178</v>
      </c>
      <c r="BL25" t="s">
        <v>159</v>
      </c>
      <c r="BM25" t="s">
        <v>178</v>
      </c>
      <c r="BN25" t="s">
        <v>159</v>
      </c>
      <c r="BO25" t="s">
        <v>162</v>
      </c>
      <c r="BP25" t="s">
        <v>586</v>
      </c>
      <c r="BQ25" t="s">
        <v>178</v>
      </c>
      <c r="BR25" t="s">
        <v>159</v>
      </c>
      <c r="BS25" t="s">
        <v>178</v>
      </c>
      <c r="BT25" t="s">
        <v>159</v>
      </c>
      <c r="BU25" t="s">
        <v>587</v>
      </c>
      <c r="BV25" t="s">
        <v>178</v>
      </c>
      <c r="BW25" t="s">
        <v>170</v>
      </c>
      <c r="BX25" t="s">
        <v>171</v>
      </c>
      <c r="BY25" t="s">
        <v>169</v>
      </c>
      <c r="BZ25" t="s">
        <v>169</v>
      </c>
      <c r="CA25" t="s">
        <v>170</v>
      </c>
      <c r="CB25" t="s">
        <v>171</v>
      </c>
      <c r="CC25" t="s">
        <v>169</v>
      </c>
      <c r="CD25" t="s">
        <v>169</v>
      </c>
      <c r="CE25" t="s">
        <v>170</v>
      </c>
      <c r="CF25" t="s">
        <v>173</v>
      </c>
      <c r="CH25" t="s">
        <v>170</v>
      </c>
      <c r="CI25" t="s">
        <v>171</v>
      </c>
      <c r="CJ25" t="s">
        <v>171</v>
      </c>
      <c r="CK25" t="s">
        <v>170</v>
      </c>
      <c r="CL25" t="s">
        <v>194</v>
      </c>
      <c r="CM25" t="s">
        <v>207</v>
      </c>
      <c r="CN25" t="s">
        <v>194</v>
      </c>
      <c r="CO25">
        <v>363.43766086267948</v>
      </c>
      <c r="CP25">
        <v>474.58285776974373</v>
      </c>
      <c r="CQ25">
        <v>147.7068597285068</v>
      </c>
      <c r="CR25">
        <v>0.48257918552036189</v>
      </c>
      <c r="CS25">
        <v>1.3245395192553451E-2</v>
      </c>
      <c r="CT25">
        <v>2.263000598943234E-2</v>
      </c>
    </row>
    <row r="26" spans="1:98">
      <c r="A26">
        <v>25</v>
      </c>
      <c r="B26" t="s">
        <v>310</v>
      </c>
      <c r="C26" t="s">
        <v>125</v>
      </c>
      <c r="D26">
        <v>30</v>
      </c>
      <c r="E26" t="s">
        <v>156</v>
      </c>
      <c r="F26" t="s">
        <v>311</v>
      </c>
      <c r="G26" s="1">
        <v>0.43942129629629628</v>
      </c>
      <c r="H26" s="1">
        <v>0.46458333333333329</v>
      </c>
      <c r="I26" s="1">
        <f t="shared" si="0"/>
        <v>0.46597222222222218</v>
      </c>
      <c r="J26">
        <v>193.73454822211031</v>
      </c>
      <c r="K26">
        <v>304.00147220843331</v>
      </c>
      <c r="L26">
        <v>58.46460465116278</v>
      </c>
      <c r="M26">
        <v>0.53830232558139535</v>
      </c>
      <c r="N26">
        <v>1.5252737268516021E-2</v>
      </c>
      <c r="O26">
        <v>3.4489707878836977E-2</v>
      </c>
      <c r="P26" s="1">
        <v>0.4662384259259259</v>
      </c>
      <c r="Q26" s="1">
        <v>0.46747685185185178</v>
      </c>
      <c r="R26">
        <v>8</v>
      </c>
      <c r="S26">
        <v>8</v>
      </c>
      <c r="T26">
        <v>157.22493393846551</v>
      </c>
      <c r="U26">
        <v>216.18369344836759</v>
      </c>
      <c r="V26">
        <v>52.470100000000002</v>
      </c>
      <c r="W26">
        <v>0.55437499999999995</v>
      </c>
      <c r="X26">
        <v>1.3238163870231461E-2</v>
      </c>
      <c r="Y26">
        <v>3.3199763950086239E-2</v>
      </c>
      <c r="Z26" s="1">
        <v>0.46748842592592588</v>
      </c>
      <c r="AA26" s="1">
        <v>0.46875</v>
      </c>
      <c r="AB26">
        <v>130.0501571173661</v>
      </c>
      <c r="AC26">
        <v>172.48571978402109</v>
      </c>
      <c r="AD26">
        <v>55.034775000000003</v>
      </c>
      <c r="AE26">
        <v>0.48812499999999981</v>
      </c>
      <c r="AF26">
        <v>1.359144137544702E-2</v>
      </c>
      <c r="AG26">
        <v>3.3042257004351691E-2</v>
      </c>
      <c r="AH26" s="1">
        <v>0.46938657407407408</v>
      </c>
      <c r="AI26" s="1">
        <v>0.4704976851851852</v>
      </c>
      <c r="AJ26">
        <v>6</v>
      </c>
      <c r="AK26">
        <v>6</v>
      </c>
      <c r="AL26">
        <v>173.8037573371648</v>
      </c>
      <c r="AM26">
        <v>212.03377698056741</v>
      </c>
      <c r="AN26">
        <v>47.054499999999997</v>
      </c>
      <c r="AO26">
        <v>0.57861111111111108</v>
      </c>
      <c r="AP26">
        <v>1.2988913583491029E-2</v>
      </c>
      <c r="AQ26">
        <v>3.3026597195632751E-2</v>
      </c>
      <c r="AR26" s="1">
        <v>0.47050925925925918</v>
      </c>
      <c r="AS26" s="1">
        <v>0.47152777777777782</v>
      </c>
      <c r="AT26">
        <v>0</v>
      </c>
      <c r="AV26">
        <v>42.893967741935477</v>
      </c>
      <c r="AW26">
        <v>0.43996774193548371</v>
      </c>
      <c r="AX26">
        <v>1.556987213354542E-2</v>
      </c>
      <c r="AY26">
        <v>3.8727645117763478E-2</v>
      </c>
      <c r="AZ26" s="7">
        <v>0.47152777777777782</v>
      </c>
      <c r="BA26" s="7">
        <v>0.47569444444444442</v>
      </c>
      <c r="BB26" t="s">
        <v>588</v>
      </c>
      <c r="BC26" t="s">
        <v>589</v>
      </c>
      <c r="BD26" t="s">
        <v>590</v>
      </c>
      <c r="BE26" t="s">
        <v>319</v>
      </c>
      <c r="BF26" t="s">
        <v>159</v>
      </c>
      <c r="BG26" t="s">
        <v>319</v>
      </c>
      <c r="BH26" t="s">
        <v>159</v>
      </c>
      <c r="BI26" t="s">
        <v>179</v>
      </c>
      <c r="BJ26" t="s">
        <v>591</v>
      </c>
      <c r="BK26" t="s">
        <v>319</v>
      </c>
      <c r="BL26" t="s">
        <v>159</v>
      </c>
      <c r="BM26" t="s">
        <v>178</v>
      </c>
      <c r="BN26" t="s">
        <v>159</v>
      </c>
      <c r="BO26" t="s">
        <v>179</v>
      </c>
      <c r="BP26" t="s">
        <v>592</v>
      </c>
      <c r="BQ26" t="s">
        <v>178</v>
      </c>
      <c r="BR26" t="s">
        <v>159</v>
      </c>
      <c r="BS26" t="s">
        <v>319</v>
      </c>
      <c r="BT26" t="s">
        <v>159</v>
      </c>
      <c r="BU26" t="s">
        <v>109</v>
      </c>
      <c r="BV26" t="s">
        <v>593</v>
      </c>
      <c r="BW26" t="s">
        <v>173</v>
      </c>
      <c r="BX26" t="s">
        <v>169</v>
      </c>
      <c r="BY26" t="s">
        <v>173</v>
      </c>
      <c r="BZ26" t="s">
        <v>169</v>
      </c>
      <c r="CA26" t="s">
        <v>173</v>
      </c>
      <c r="CB26" t="s">
        <v>169</v>
      </c>
      <c r="CC26" t="s">
        <v>169</v>
      </c>
      <c r="CD26" t="s">
        <v>173</v>
      </c>
      <c r="CE26" t="s">
        <v>173</v>
      </c>
      <c r="CF26" t="s">
        <v>169</v>
      </c>
      <c r="CH26" t="s">
        <v>173</v>
      </c>
      <c r="CI26" t="s">
        <v>172</v>
      </c>
      <c r="CJ26" t="s">
        <v>172</v>
      </c>
      <c r="CK26" t="s">
        <v>173</v>
      </c>
      <c r="CL26" t="s">
        <v>175</v>
      </c>
      <c r="CM26" t="s">
        <v>175</v>
      </c>
      <c r="CN26" t="s">
        <v>174</v>
      </c>
      <c r="CO26">
        <v>115.8796863944019</v>
      </c>
      <c r="CP26">
        <v>165.9363123915731</v>
      </c>
      <c r="CQ26">
        <v>187.6070693069307</v>
      </c>
      <c r="CR26">
        <v>0.53370297029702929</v>
      </c>
      <c r="CS26">
        <v>3.2497705539895408E-2</v>
      </c>
      <c r="CT26">
        <v>5.1208828675437378E-2</v>
      </c>
    </row>
    <row r="27" spans="1:98">
      <c r="I27" t="s">
        <v>320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U26"/>
  <sheetViews>
    <sheetView zoomScale="110" zoomScaleNormal="110" workbookViewId="0">
      <selection activeCell="M38" sqref="M38"/>
    </sheetView>
  </sheetViews>
  <sheetFormatPr defaultRowHeight="14.25"/>
  <cols>
    <col min="1" max="4" width="14.5" customWidth="1"/>
    <col min="5" max="5" width="18.5" customWidth="1"/>
    <col min="6" max="6" width="10.125" bestFit="1" customWidth="1"/>
    <col min="7" max="7" width="23.875" bestFit="1" customWidth="1"/>
    <col min="8" max="8" width="19" bestFit="1" customWidth="1"/>
    <col min="9" max="9" width="18.25" bestFit="1" customWidth="1"/>
    <col min="10" max="11" width="15.75" customWidth="1"/>
    <col min="12" max="12" width="16.25" bestFit="1" customWidth="1"/>
    <col min="13" max="13" width="24.625" bestFit="1" customWidth="1"/>
    <col min="14" max="14" width="20.625" bestFit="1" customWidth="1"/>
    <col min="15" max="15" width="25" bestFit="1" customWidth="1"/>
    <col min="16" max="16" width="13.875" bestFit="1" customWidth="1"/>
    <col min="17" max="17" width="13.25" bestFit="1" customWidth="1"/>
    <col min="18" max="18" width="12" bestFit="1" customWidth="1"/>
    <col min="19" max="19" width="18.375" bestFit="1" customWidth="1"/>
    <col min="20" max="20" width="13.25" bestFit="1" customWidth="1"/>
    <col min="21" max="21" width="13.25" customWidth="1"/>
    <col min="22" max="22" width="16.25" bestFit="1" customWidth="1"/>
    <col min="23" max="23" width="27.5" bestFit="1" customWidth="1"/>
    <col min="24" max="24" width="23" bestFit="1" customWidth="1"/>
    <col min="25" max="25" width="26" bestFit="1" customWidth="1"/>
    <col min="26" max="26" width="19" bestFit="1" customWidth="1"/>
    <col min="27" max="27" width="18.25" bestFit="1" customWidth="1"/>
    <col min="28" max="28" width="14.25" bestFit="1" customWidth="1"/>
    <col min="29" max="29" width="14.25" customWidth="1"/>
    <col min="30" max="30" width="17.375" bestFit="1" customWidth="1"/>
    <col min="31" max="31" width="28.5" bestFit="1" customWidth="1"/>
    <col min="32" max="32" width="23.875" bestFit="1" customWidth="1"/>
    <col min="33" max="33" width="26" bestFit="1" customWidth="1"/>
    <col min="34" max="34" width="13.875" bestFit="1" customWidth="1"/>
    <col min="35" max="35" width="13.25" bestFit="1" customWidth="1"/>
    <col min="36" max="36" width="12" bestFit="1" customWidth="1"/>
    <col min="37" max="37" width="18.5" bestFit="1" customWidth="1"/>
    <col min="38" max="38" width="14.25" bestFit="1" customWidth="1"/>
    <col min="39" max="39" width="14.25" customWidth="1"/>
    <col min="40" max="40" width="17.375" bestFit="1" customWidth="1"/>
    <col min="41" max="41" width="28.5" bestFit="1" customWidth="1"/>
    <col min="42" max="42" width="23.875" bestFit="1" customWidth="1"/>
    <col min="43" max="43" width="26" bestFit="1" customWidth="1"/>
    <col min="44" max="44" width="19" bestFit="1" customWidth="1"/>
    <col min="45" max="45" width="18.25" bestFit="1" customWidth="1"/>
    <col min="46" max="46" width="14.25" bestFit="1" customWidth="1"/>
    <col min="47" max="47" width="14.25" customWidth="1"/>
    <col min="48" max="48" width="17.375" bestFit="1" customWidth="1"/>
    <col min="49" max="49" width="28.5" bestFit="1" customWidth="1"/>
    <col min="50" max="50" width="23.875" bestFit="1" customWidth="1"/>
    <col min="51" max="51" width="26" bestFit="1" customWidth="1"/>
    <col min="52" max="52" width="16.375" customWidth="1"/>
    <col min="53" max="53" width="18.75" customWidth="1"/>
    <col min="54" max="54" width="19.625" customWidth="1"/>
    <col min="55" max="55" width="26.375" customWidth="1"/>
    <col min="56" max="56" width="13.5" customWidth="1"/>
    <col min="58" max="58" width="16.25" customWidth="1"/>
    <col min="62" max="62" width="12.25" customWidth="1"/>
    <col min="63" max="63" width="13.5" customWidth="1"/>
    <col min="93" max="93" width="16.5" customWidth="1"/>
    <col min="94" max="94" width="15" customWidth="1"/>
    <col min="98" max="98" width="26" bestFit="1" customWidth="1"/>
    <col min="99" max="99" width="52.875" customWidth="1"/>
  </cols>
  <sheetData>
    <row r="1" spans="1:99" ht="45.6" customHeight="1">
      <c r="A1" t="s">
        <v>0</v>
      </c>
      <c r="B1" t="s">
        <v>1</v>
      </c>
      <c r="C1" t="s">
        <v>2</v>
      </c>
      <c r="D1" t="s">
        <v>3</v>
      </c>
      <c r="E1" t="s">
        <v>4</v>
      </c>
      <c r="F1" t="s">
        <v>5</v>
      </c>
      <c r="G1" t="s">
        <v>6</v>
      </c>
      <c r="H1" s="5" t="s">
        <v>594</v>
      </c>
      <c r="I1" s="5" t="s">
        <v>595</v>
      </c>
      <c r="J1" s="3" t="s">
        <v>9</v>
      </c>
      <c r="K1" s="3" t="s">
        <v>27</v>
      </c>
      <c r="L1" s="3" t="s">
        <v>11</v>
      </c>
      <c r="M1" s="3" t="s">
        <v>12</v>
      </c>
      <c r="N1" s="4" t="s">
        <v>13</v>
      </c>
      <c r="O1" s="4" t="s">
        <v>14</v>
      </c>
      <c r="P1" s="6" t="s">
        <v>596</v>
      </c>
      <c r="Q1" s="6" t="s">
        <v>597</v>
      </c>
      <c r="R1" t="s">
        <v>17</v>
      </c>
      <c r="S1" t="s">
        <v>18</v>
      </c>
      <c r="T1" s="3" t="s">
        <v>19</v>
      </c>
      <c r="U1" s="3" t="s">
        <v>27</v>
      </c>
      <c r="V1" s="3" t="s">
        <v>20</v>
      </c>
      <c r="W1" s="3" t="s">
        <v>21</v>
      </c>
      <c r="X1" s="4" t="s">
        <v>22</v>
      </c>
      <c r="Y1" s="4" t="s">
        <v>23</v>
      </c>
      <c r="Z1" s="5" t="s">
        <v>598</v>
      </c>
      <c r="AA1" s="5" t="s">
        <v>599</v>
      </c>
      <c r="AB1" s="3" t="s">
        <v>26</v>
      </c>
      <c r="AC1" s="3" t="s">
        <v>27</v>
      </c>
      <c r="AD1" s="3" t="s">
        <v>28</v>
      </c>
      <c r="AE1" s="3" t="s">
        <v>29</v>
      </c>
      <c r="AF1" s="4" t="s">
        <v>30</v>
      </c>
      <c r="AG1" s="4" t="s">
        <v>31</v>
      </c>
      <c r="AH1" s="6" t="s">
        <v>600</v>
      </c>
      <c r="AI1" s="6" t="s">
        <v>601</v>
      </c>
      <c r="AJ1" t="s">
        <v>34</v>
      </c>
      <c r="AK1" t="s">
        <v>35</v>
      </c>
      <c r="AL1" s="3" t="s">
        <v>36</v>
      </c>
      <c r="AM1" s="3" t="s">
        <v>27</v>
      </c>
      <c r="AN1" s="3" t="s">
        <v>37</v>
      </c>
      <c r="AO1" s="3" t="s">
        <v>329</v>
      </c>
      <c r="AP1" s="4" t="s">
        <v>39</v>
      </c>
      <c r="AQ1" s="4" t="s">
        <v>40</v>
      </c>
      <c r="AR1" s="5" t="s">
        <v>602</v>
      </c>
      <c r="AS1" s="5" t="s">
        <v>603</v>
      </c>
      <c r="AT1" s="3" t="s">
        <v>43</v>
      </c>
      <c r="AU1" s="3" t="s">
        <v>27</v>
      </c>
      <c r="AV1" s="3" t="s">
        <v>44</v>
      </c>
      <c r="AW1" s="3" t="s">
        <v>45</v>
      </c>
      <c r="AX1" s="4" t="s">
        <v>46</v>
      </c>
      <c r="AY1" s="4" t="s">
        <v>47</v>
      </c>
      <c r="AZ1" s="6" t="s">
        <v>604</v>
      </c>
      <c r="BA1" s="6" t="s">
        <v>605</v>
      </c>
      <c r="BB1" s="8" t="s">
        <v>50</v>
      </c>
      <c r="BC1" s="8" t="s">
        <v>51</v>
      </c>
      <c r="BD1" s="8" t="s">
        <v>52</v>
      </c>
      <c r="BE1" s="8" t="s">
        <v>53</v>
      </c>
      <c r="BF1" s="8" t="s">
        <v>54</v>
      </c>
      <c r="BG1" s="8" t="s">
        <v>55</v>
      </c>
      <c r="BH1" s="8" t="s">
        <v>56</v>
      </c>
      <c r="BI1" s="8" t="s">
        <v>57</v>
      </c>
      <c r="BJ1" s="8" t="s">
        <v>58</v>
      </c>
      <c r="BK1" s="8" t="s">
        <v>59</v>
      </c>
      <c r="BL1" s="8" t="s">
        <v>60</v>
      </c>
      <c r="BM1" s="8" t="s">
        <v>61</v>
      </c>
      <c r="BN1" s="8" t="s">
        <v>62</v>
      </c>
      <c r="BO1" s="8" t="s">
        <v>63</v>
      </c>
      <c r="BP1" s="8" t="s">
        <v>64</v>
      </c>
      <c r="BQ1" s="8" t="s">
        <v>65</v>
      </c>
      <c r="BR1" s="8" t="s">
        <v>66</v>
      </c>
      <c r="BS1" s="8" t="s">
        <v>67</v>
      </c>
      <c r="BT1" s="8" t="s">
        <v>68</v>
      </c>
      <c r="BU1" s="8" t="s">
        <v>69</v>
      </c>
      <c r="BV1" s="8" t="s">
        <v>70</v>
      </c>
      <c r="BW1" s="8" t="s">
        <v>71</v>
      </c>
      <c r="BX1" s="8" t="s">
        <v>72</v>
      </c>
      <c r="BY1" s="8" t="s">
        <v>73</v>
      </c>
      <c r="BZ1" s="8" t="s">
        <v>74</v>
      </c>
      <c r="CA1" s="8" t="s">
        <v>75</v>
      </c>
      <c r="CB1" s="8" t="s">
        <v>76</v>
      </c>
      <c r="CC1" s="8" t="s">
        <v>77</v>
      </c>
      <c r="CD1" s="8" t="s">
        <v>78</v>
      </c>
      <c r="CE1" s="8" t="s">
        <v>79</v>
      </c>
      <c r="CF1" s="8" t="s">
        <v>80</v>
      </c>
      <c r="CG1" s="8" t="s">
        <v>81</v>
      </c>
      <c r="CH1" s="8" t="s">
        <v>82</v>
      </c>
      <c r="CI1" s="8" t="s">
        <v>83</v>
      </c>
      <c r="CJ1" s="8" t="s">
        <v>84</v>
      </c>
      <c r="CK1" s="8" t="s">
        <v>85</v>
      </c>
      <c r="CL1" s="8" t="s">
        <v>86</v>
      </c>
      <c r="CM1" s="8" t="s">
        <v>87</v>
      </c>
      <c r="CN1" s="8" t="s">
        <v>88</v>
      </c>
      <c r="CO1" s="3" t="s">
        <v>89</v>
      </c>
      <c r="CP1" s="3" t="s">
        <v>27</v>
      </c>
      <c r="CQ1" s="3" t="s">
        <v>90</v>
      </c>
      <c r="CR1" s="3" t="s">
        <v>91</v>
      </c>
      <c r="CS1" s="4" t="s">
        <v>92</v>
      </c>
      <c r="CT1" s="4" t="s">
        <v>93</v>
      </c>
      <c r="CU1" s="19" t="s">
        <v>606</v>
      </c>
    </row>
    <row r="2" spans="1:99" ht="36" customHeight="1">
      <c r="A2">
        <v>1</v>
      </c>
      <c r="B2" t="s">
        <v>94</v>
      </c>
      <c r="C2" t="s">
        <v>95</v>
      </c>
      <c r="D2">
        <v>36</v>
      </c>
      <c r="E2" t="s">
        <v>334</v>
      </c>
      <c r="F2" t="s">
        <v>97</v>
      </c>
      <c r="G2" s="1" t="s">
        <v>196</v>
      </c>
      <c r="H2" s="1">
        <v>0.6333333333333333</v>
      </c>
      <c r="I2" s="1">
        <v>0.63472222222222219</v>
      </c>
      <c r="J2">
        <v>101.53169790923791</v>
      </c>
      <c r="K2">
        <v>132.46314076048009</v>
      </c>
      <c r="L2">
        <v>59.396620689655172</v>
      </c>
      <c r="M2">
        <v>0.52852873563218394</v>
      </c>
      <c r="N2">
        <v>8.9132843956939833E-3</v>
      </c>
      <c r="O2">
        <v>2.0187737918753269E-2</v>
      </c>
      <c r="P2" s="1">
        <v>0.63495370370370374</v>
      </c>
      <c r="Q2" s="17">
        <v>0.63634259259259263</v>
      </c>
      <c r="R2">
        <v>7</v>
      </c>
      <c r="S2">
        <v>7</v>
      </c>
      <c r="T2">
        <v>58.074328930089777</v>
      </c>
      <c r="U2">
        <v>56.715624557661833</v>
      </c>
      <c r="V2">
        <v>59.511547619047612</v>
      </c>
      <c r="W2">
        <v>0.50969047619047725</v>
      </c>
      <c r="X2">
        <v>6.9581718818523082E-3</v>
      </c>
      <c r="Y2">
        <v>1.854861981719905E-2</v>
      </c>
      <c r="Z2" s="1">
        <v>0.63680555555555551</v>
      </c>
      <c r="AA2" s="1">
        <v>0.6381944444444444</v>
      </c>
      <c r="AB2">
        <v>61.047048960989812</v>
      </c>
      <c r="AC2">
        <v>59.312292587188928</v>
      </c>
      <c r="AD2">
        <v>59.027730337078658</v>
      </c>
      <c r="AE2">
        <v>0.5431235955056184</v>
      </c>
      <c r="AF2">
        <v>7.8200309661705467E-3</v>
      </c>
      <c r="AG2">
        <v>1.9484874206884079E-2</v>
      </c>
      <c r="AH2" s="1">
        <v>0.6381944444444444</v>
      </c>
      <c r="AI2" s="2">
        <v>0.63966435185185189</v>
      </c>
      <c r="AJ2">
        <v>7</v>
      </c>
      <c r="AK2">
        <v>7</v>
      </c>
      <c r="AL2">
        <v>48.516008755771011</v>
      </c>
      <c r="AM2">
        <v>35.585109245300671</v>
      </c>
      <c r="AN2">
        <v>63.570020618556697</v>
      </c>
      <c r="AO2">
        <v>0.50760824742268085</v>
      </c>
      <c r="AP2">
        <v>7.5887100049550366E-3</v>
      </c>
      <c r="AQ2">
        <v>1.894578852813196E-2</v>
      </c>
      <c r="AR2" s="2">
        <v>0.63967592592592593</v>
      </c>
      <c r="AS2" s="2">
        <v>0.64106481481481481</v>
      </c>
      <c r="AT2">
        <v>72.548691136813375</v>
      </c>
      <c r="AU2">
        <v>42.330215375756332</v>
      </c>
      <c r="AV2">
        <v>58.676931818181806</v>
      </c>
      <c r="AW2">
        <v>0.51375000000000037</v>
      </c>
      <c r="AX2">
        <v>7.4760804496223302E-3</v>
      </c>
      <c r="AY2">
        <v>2.0066215047706611E-2</v>
      </c>
      <c r="AZ2" s="2">
        <v>0.64107638888888885</v>
      </c>
      <c r="BA2" s="2">
        <v>0.64430555555555558</v>
      </c>
      <c r="BB2" s="8" t="s">
        <v>131</v>
      </c>
      <c r="BC2" s="8" t="s">
        <v>607</v>
      </c>
      <c r="BD2" s="8" t="s">
        <v>608</v>
      </c>
      <c r="BE2" s="8" t="s">
        <v>133</v>
      </c>
      <c r="BF2" s="8" t="s">
        <v>129</v>
      </c>
      <c r="BG2" s="8" t="s">
        <v>131</v>
      </c>
      <c r="BH2" s="8" t="s">
        <v>609</v>
      </c>
      <c r="BI2" s="8" t="s">
        <v>131</v>
      </c>
      <c r="BJ2" s="8" t="s">
        <v>610</v>
      </c>
      <c r="BK2" s="8" t="s">
        <v>133</v>
      </c>
      <c r="BL2" s="8" t="s">
        <v>129</v>
      </c>
      <c r="BM2" s="8" t="s">
        <v>129</v>
      </c>
      <c r="BN2" s="8" t="s">
        <v>129</v>
      </c>
      <c r="BO2" s="8" t="s">
        <v>131</v>
      </c>
      <c r="BP2" s="8" t="s">
        <v>611</v>
      </c>
      <c r="BQ2" s="8" t="s">
        <v>131</v>
      </c>
      <c r="BR2" s="8" t="s">
        <v>612</v>
      </c>
      <c r="BS2" s="8" t="s">
        <v>133</v>
      </c>
      <c r="BT2" s="8" t="s">
        <v>129</v>
      </c>
      <c r="BU2" s="8">
        <v>100</v>
      </c>
      <c r="BV2" s="8" t="s">
        <v>613</v>
      </c>
      <c r="BW2" s="8" t="s">
        <v>112</v>
      </c>
      <c r="BX2" s="8" t="s">
        <v>111</v>
      </c>
      <c r="BY2" s="8" t="s">
        <v>112</v>
      </c>
      <c r="BZ2" s="8" t="s">
        <v>111</v>
      </c>
      <c r="CA2" s="8" t="s">
        <v>111</v>
      </c>
      <c r="CB2" s="8" t="s">
        <v>111</v>
      </c>
      <c r="CC2" s="8" t="s">
        <v>112</v>
      </c>
      <c r="CD2" s="8" t="s">
        <v>111</v>
      </c>
      <c r="CE2" s="8" t="s">
        <v>111</v>
      </c>
      <c r="CF2" s="8" t="s">
        <v>111</v>
      </c>
      <c r="CG2" s="8" t="s">
        <v>111</v>
      </c>
      <c r="CH2" s="8" t="s">
        <v>123</v>
      </c>
      <c r="CI2" s="8" t="s">
        <v>112</v>
      </c>
      <c r="CJ2" s="8" t="s">
        <v>123</v>
      </c>
      <c r="CK2" s="8" t="s">
        <v>123</v>
      </c>
      <c r="CL2" s="8" t="s">
        <v>155</v>
      </c>
      <c r="CM2" s="8" t="s">
        <v>116</v>
      </c>
      <c r="CN2" s="8" t="s">
        <v>116</v>
      </c>
      <c r="CO2">
        <v>43.368027265379091</v>
      </c>
      <c r="CP2">
        <v>35.163361213498582</v>
      </c>
      <c r="CQ2">
        <v>137.59364102564101</v>
      </c>
      <c r="CR2">
        <v>0.550523076923077</v>
      </c>
      <c r="CS2">
        <v>6.0897234919236867E-3</v>
      </c>
      <c r="CT2">
        <v>1.425100153426097E-2</v>
      </c>
      <c r="CU2" t="s">
        <v>614</v>
      </c>
    </row>
    <row r="3" spans="1:99">
      <c r="A3">
        <v>2</v>
      </c>
      <c r="B3" t="s">
        <v>99</v>
      </c>
      <c r="C3" t="s">
        <v>95</v>
      </c>
      <c r="D3">
        <v>24</v>
      </c>
      <c r="E3" t="s">
        <v>138</v>
      </c>
      <c r="F3" t="s">
        <v>100</v>
      </c>
      <c r="H3" s="1">
        <v>0.48402777777777778</v>
      </c>
      <c r="I3" s="1">
        <f t="shared" ref="I3:I25" si="0">H3+TIME(0,2,0)</f>
        <v>0.48541666666666666</v>
      </c>
      <c r="J3">
        <v>150.0148305131259</v>
      </c>
      <c r="K3">
        <v>112.5450469674218</v>
      </c>
      <c r="L3">
        <v>57.028413793103446</v>
      </c>
      <c r="M3">
        <v>0.45928735632183881</v>
      </c>
      <c r="N3">
        <v>8.7403799194690351E-3</v>
      </c>
      <c r="O3">
        <v>1.8732529685395061E-2</v>
      </c>
      <c r="P3" s="1">
        <v>0.48592592592592587</v>
      </c>
      <c r="Q3" s="1">
        <v>0.48716435185185192</v>
      </c>
      <c r="R3">
        <v>8</v>
      </c>
      <c r="S3">
        <v>8</v>
      </c>
      <c r="T3">
        <v>113.8329286973489</v>
      </c>
      <c r="U3">
        <v>60.666235723528892</v>
      </c>
      <c r="V3">
        <v>52.969234567901232</v>
      </c>
      <c r="W3">
        <v>0.44530864197530839</v>
      </c>
      <c r="X3">
        <v>8.2879890182226811E-3</v>
      </c>
      <c r="Y3">
        <v>1.9494654017413529E-2</v>
      </c>
      <c r="Z3" s="1">
        <v>0.4871759259259259</v>
      </c>
      <c r="AA3" s="1">
        <v>0.48819444444444438</v>
      </c>
      <c r="AB3">
        <v>106.02851665924319</v>
      </c>
      <c r="AC3">
        <v>101.49411285909601</v>
      </c>
      <c r="AD3">
        <v>43.162477611940297</v>
      </c>
      <c r="AE3">
        <v>0.45167164179104402</v>
      </c>
      <c r="AF3">
        <v>8.7174093307670255E-3</v>
      </c>
      <c r="AG3">
        <v>2.1655827047550629E-2</v>
      </c>
      <c r="AH3" s="1">
        <v>0.48837962962962961</v>
      </c>
      <c r="AI3" s="1">
        <v>0.48959490740740741</v>
      </c>
      <c r="AJ3">
        <v>7</v>
      </c>
      <c r="AK3">
        <v>7</v>
      </c>
      <c r="AL3">
        <v>153.3318824275718</v>
      </c>
      <c r="AM3">
        <v>122.2037134166375</v>
      </c>
      <c r="AN3">
        <v>52.6173</v>
      </c>
      <c r="AO3">
        <v>0.45912499999999978</v>
      </c>
      <c r="AP3">
        <v>8.3913483393088344E-3</v>
      </c>
      <c r="AQ3">
        <v>1.940651432318647E-2</v>
      </c>
      <c r="AR3" s="1">
        <v>0.4896064814814815</v>
      </c>
      <c r="AS3" s="1">
        <v>0.49098379629629629</v>
      </c>
      <c r="AT3">
        <v>119.3457920194121</v>
      </c>
      <c r="AU3">
        <v>113.6811190365251</v>
      </c>
      <c r="AV3">
        <v>59.482752941176457</v>
      </c>
      <c r="AW3">
        <v>0.46936470588235352</v>
      </c>
      <c r="AX3">
        <v>8.4459024455805411E-3</v>
      </c>
      <c r="AY3">
        <v>1.9661462862980841E-2</v>
      </c>
      <c r="AZ3" s="7">
        <v>0.4909722222222222</v>
      </c>
      <c r="BA3" s="7">
        <v>0.49305555555555558</v>
      </c>
      <c r="BB3" t="s">
        <v>105</v>
      </c>
      <c r="BC3" t="s">
        <v>106</v>
      </c>
      <c r="BD3" t="s">
        <v>105</v>
      </c>
      <c r="BE3" t="s">
        <v>101</v>
      </c>
      <c r="BF3" t="s">
        <v>615</v>
      </c>
      <c r="BG3" t="s">
        <v>105</v>
      </c>
      <c r="BH3" t="s">
        <v>106</v>
      </c>
      <c r="BI3" t="s">
        <v>101</v>
      </c>
      <c r="BJ3" t="s">
        <v>616</v>
      </c>
      <c r="BK3" t="s">
        <v>101</v>
      </c>
      <c r="BL3" t="s">
        <v>617</v>
      </c>
      <c r="BM3" t="s">
        <v>101</v>
      </c>
      <c r="BN3" t="s">
        <v>618</v>
      </c>
      <c r="BO3" t="s">
        <v>105</v>
      </c>
      <c r="BP3" t="s">
        <v>106</v>
      </c>
      <c r="BQ3" t="s">
        <v>105</v>
      </c>
      <c r="BR3" t="s">
        <v>106</v>
      </c>
      <c r="BS3" t="s">
        <v>105</v>
      </c>
      <c r="BT3" t="s">
        <v>106</v>
      </c>
      <c r="BU3" t="s">
        <v>619</v>
      </c>
      <c r="BV3" t="s">
        <v>105</v>
      </c>
      <c r="BW3" t="s">
        <v>112</v>
      </c>
      <c r="BX3" t="s">
        <v>111</v>
      </c>
      <c r="BY3" t="s">
        <v>112</v>
      </c>
      <c r="BZ3" t="s">
        <v>111</v>
      </c>
      <c r="CA3" t="s">
        <v>112</v>
      </c>
      <c r="CB3" t="s">
        <v>111</v>
      </c>
      <c r="CC3" t="s">
        <v>112</v>
      </c>
      <c r="CD3" t="s">
        <v>112</v>
      </c>
      <c r="CE3" t="s">
        <v>112</v>
      </c>
      <c r="CF3" t="s">
        <v>111</v>
      </c>
      <c r="CG3" t="s">
        <v>112</v>
      </c>
      <c r="CH3" t="s">
        <v>112</v>
      </c>
      <c r="CI3" t="s">
        <v>111</v>
      </c>
      <c r="CJ3" t="s">
        <v>112</v>
      </c>
      <c r="CK3" t="s">
        <v>111</v>
      </c>
      <c r="CL3" t="s">
        <v>155</v>
      </c>
      <c r="CM3" t="s">
        <v>116</v>
      </c>
      <c r="CN3" t="s">
        <v>117</v>
      </c>
      <c r="CO3">
        <v>142.70036758504219</v>
      </c>
      <c r="CP3">
        <v>151.61436361452351</v>
      </c>
      <c r="CQ3">
        <v>87.141664335664316</v>
      </c>
      <c r="CR3">
        <v>0.47742657342657219</v>
      </c>
      <c r="CS3">
        <v>7.9050795484792071E-3</v>
      </c>
      <c r="CT3">
        <v>1.6447059412222621E-2</v>
      </c>
      <c r="CU3" t="s">
        <v>620</v>
      </c>
    </row>
    <row r="4" spans="1:99">
      <c r="A4">
        <v>3</v>
      </c>
      <c r="B4" t="s">
        <v>118</v>
      </c>
      <c r="C4" t="s">
        <v>95</v>
      </c>
      <c r="D4">
        <v>21</v>
      </c>
      <c r="E4" t="s">
        <v>119</v>
      </c>
      <c r="F4" t="s">
        <v>100</v>
      </c>
      <c r="H4" s="1">
        <v>0.6069444444444444</v>
      </c>
      <c r="I4" s="1">
        <f t="shared" si="0"/>
        <v>0.60833333333333328</v>
      </c>
      <c r="J4">
        <v>449.52750122653578</v>
      </c>
      <c r="K4">
        <v>551.44235117250651</v>
      </c>
      <c r="L4">
        <v>60.234894117647073</v>
      </c>
      <c r="M4">
        <v>0.52268235294117682</v>
      </c>
      <c r="N4">
        <v>9.7110214320783282E-3</v>
      </c>
      <c r="O4">
        <v>2.4900476905363188E-2</v>
      </c>
      <c r="P4" s="1">
        <v>0.6086111111111111</v>
      </c>
      <c r="Q4" s="1">
        <v>0.609837962962963</v>
      </c>
      <c r="R4">
        <v>7</v>
      </c>
      <c r="S4">
        <v>6</v>
      </c>
      <c r="T4">
        <v>271.72435616808713</v>
      </c>
      <c r="U4">
        <v>326.44763838334052</v>
      </c>
      <c r="V4">
        <v>51.377051282051283</v>
      </c>
      <c r="W4">
        <v>0.46694871794871828</v>
      </c>
      <c r="X4">
        <v>1.0187072605981239E-2</v>
      </c>
      <c r="Y4">
        <v>2.62585198092289E-2</v>
      </c>
      <c r="Z4" s="1">
        <v>0.60984953703703704</v>
      </c>
      <c r="AA4" s="1">
        <v>0.61122685185185188</v>
      </c>
      <c r="AB4">
        <v>89.632623854488259</v>
      </c>
      <c r="AC4">
        <v>78.919594053576716</v>
      </c>
      <c r="AD4">
        <v>60.594186046511602</v>
      </c>
      <c r="AE4">
        <v>0.54920930232558141</v>
      </c>
      <c r="AF4">
        <v>9.4065298044902577E-3</v>
      </c>
      <c r="AG4">
        <v>2.5139006227644201E-2</v>
      </c>
      <c r="AH4" s="1">
        <v>0.61131944444444442</v>
      </c>
      <c r="AI4" s="1">
        <v>0.61234953703703698</v>
      </c>
      <c r="AJ4">
        <v>6</v>
      </c>
      <c r="AK4">
        <v>6</v>
      </c>
      <c r="AL4">
        <v>208.63381132235199</v>
      </c>
      <c r="AM4">
        <v>295.97245634561051</v>
      </c>
      <c r="AN4">
        <v>43.496531249999997</v>
      </c>
      <c r="AO4">
        <v>0.51728124999999958</v>
      </c>
      <c r="AP4">
        <v>1.0174672654458679E-2</v>
      </c>
      <c r="AQ4">
        <v>3.0698400854776091E-2</v>
      </c>
      <c r="AR4" s="1">
        <v>0.61250000000000004</v>
      </c>
      <c r="AS4" s="1">
        <v>0.61388888888888893</v>
      </c>
      <c r="AT4">
        <v>333.80631007956998</v>
      </c>
      <c r="AU4">
        <v>484.72626400929289</v>
      </c>
      <c r="AV4">
        <v>59.3652359550562</v>
      </c>
      <c r="AW4">
        <v>0.45426966292134802</v>
      </c>
      <c r="AX4">
        <v>8.7105947062598357E-3</v>
      </c>
      <c r="AY4">
        <v>2.4563750083080631E-2</v>
      </c>
      <c r="AZ4" s="7">
        <v>0.61388888888888893</v>
      </c>
      <c r="BA4" s="7">
        <v>0.61527777777777781</v>
      </c>
      <c r="BB4" t="s">
        <v>139</v>
      </c>
      <c r="BC4" t="s">
        <v>621</v>
      </c>
      <c r="BD4" t="s">
        <v>105</v>
      </c>
      <c r="BE4" t="s">
        <v>105</v>
      </c>
      <c r="BF4" t="s">
        <v>106</v>
      </c>
      <c r="BG4" t="s">
        <v>105</v>
      </c>
      <c r="BH4" t="s">
        <v>106</v>
      </c>
      <c r="BI4" t="s">
        <v>101</v>
      </c>
      <c r="BJ4" t="s">
        <v>120</v>
      </c>
      <c r="BK4" t="s">
        <v>105</v>
      </c>
      <c r="BL4" t="s">
        <v>106</v>
      </c>
      <c r="BM4" t="s">
        <v>101</v>
      </c>
      <c r="BN4" t="s">
        <v>409</v>
      </c>
      <c r="BO4" t="s">
        <v>105</v>
      </c>
      <c r="BP4" t="s">
        <v>106</v>
      </c>
      <c r="BQ4" t="s">
        <v>105</v>
      </c>
      <c r="BR4" t="s">
        <v>106</v>
      </c>
      <c r="BS4" t="s">
        <v>105</v>
      </c>
      <c r="BT4" t="s">
        <v>106</v>
      </c>
      <c r="BU4" t="s">
        <v>279</v>
      </c>
      <c r="BV4" t="s">
        <v>105</v>
      </c>
      <c r="BW4" t="s">
        <v>123</v>
      </c>
      <c r="BX4" t="s">
        <v>123</v>
      </c>
      <c r="BY4" t="s">
        <v>112</v>
      </c>
      <c r="BZ4" t="s">
        <v>123</v>
      </c>
      <c r="CA4" t="s">
        <v>111</v>
      </c>
      <c r="CB4" t="s">
        <v>112</v>
      </c>
      <c r="CC4" t="s">
        <v>123</v>
      </c>
      <c r="CD4" t="s">
        <v>123</v>
      </c>
      <c r="CE4" t="s">
        <v>111</v>
      </c>
      <c r="CF4" t="s">
        <v>123</v>
      </c>
      <c r="CG4" t="s">
        <v>123</v>
      </c>
      <c r="CH4" t="s">
        <v>123</v>
      </c>
      <c r="CI4" t="s">
        <v>112</v>
      </c>
      <c r="CJ4" t="s">
        <v>112</v>
      </c>
      <c r="CK4" t="s">
        <v>111</v>
      </c>
      <c r="CL4" t="s">
        <v>124</v>
      </c>
      <c r="CM4" t="s">
        <v>116</v>
      </c>
      <c r="CN4" t="s">
        <v>117</v>
      </c>
      <c r="CO4">
        <v>139.3482918140293</v>
      </c>
      <c r="CP4">
        <v>204.04957919395679</v>
      </c>
      <c r="CQ4">
        <v>59.17055172413793</v>
      </c>
      <c r="CR4">
        <v>0.50657471264367826</v>
      </c>
      <c r="CS4">
        <v>8.6036315726467204E-3</v>
      </c>
      <c r="CT4">
        <v>2.4632844989457111E-2</v>
      </c>
      <c r="CU4" t="s">
        <v>622</v>
      </c>
    </row>
    <row r="5" spans="1:99" s="15" customFormat="1">
      <c r="A5">
        <v>4</v>
      </c>
      <c r="B5" t="s">
        <v>99</v>
      </c>
      <c r="C5" t="s">
        <v>125</v>
      </c>
      <c r="D5">
        <v>28</v>
      </c>
      <c r="E5" t="s">
        <v>156</v>
      </c>
      <c r="F5" s="15" t="s">
        <v>127</v>
      </c>
      <c r="H5" s="14">
        <v>0.5</v>
      </c>
      <c r="I5" s="14">
        <f t="shared" si="0"/>
        <v>0.50138888888888888</v>
      </c>
      <c r="J5">
        <v>253.36522919058089</v>
      </c>
      <c r="K5">
        <v>329.84578912624733</v>
      </c>
      <c r="L5">
        <v>58.114773333333339</v>
      </c>
      <c r="M5">
        <v>0.52546666666666675</v>
      </c>
      <c r="N5">
        <v>1.769929093237009E-2</v>
      </c>
      <c r="O5">
        <v>5.074673259291549E-2</v>
      </c>
      <c r="CU5" s="15" t="s">
        <v>623</v>
      </c>
    </row>
    <row r="6" spans="1:99">
      <c r="A6">
        <v>5</v>
      </c>
      <c r="B6" t="s">
        <v>137</v>
      </c>
      <c r="C6" t="s">
        <v>125</v>
      </c>
      <c r="D6">
        <v>41</v>
      </c>
      <c r="E6" t="s">
        <v>189</v>
      </c>
      <c r="F6" t="s">
        <v>127</v>
      </c>
      <c r="H6" s="1">
        <v>0.59930555555555554</v>
      </c>
      <c r="I6" s="1">
        <f t="shared" si="0"/>
        <v>0.60069444444444442</v>
      </c>
      <c r="J6">
        <v>32.47078821627079</v>
      </c>
      <c r="K6">
        <v>12.57809957652837</v>
      </c>
      <c r="L6">
        <v>58.214604651162787</v>
      </c>
      <c r="M6">
        <v>0.53646511627907001</v>
      </c>
      <c r="N6">
        <v>6.95285329727702E-3</v>
      </c>
      <c r="O6">
        <v>2.1749548343633671E-2</v>
      </c>
      <c r="AH6" s="1">
        <v>0.60302083333333334</v>
      </c>
      <c r="AI6" s="1">
        <v>0.60369212962962959</v>
      </c>
      <c r="AJ6">
        <v>6</v>
      </c>
      <c r="AK6">
        <v>5</v>
      </c>
      <c r="AL6">
        <v>132.5370787971323</v>
      </c>
      <c r="AN6">
        <v>28.699488372093018</v>
      </c>
      <c r="AO6">
        <v>0.4911627906976746</v>
      </c>
      <c r="AP6">
        <v>8.2589262242361312E-3</v>
      </c>
      <c r="AQ6">
        <v>3.2435536627559929E-2</v>
      </c>
      <c r="AR6" s="1">
        <v>0.60369212962962959</v>
      </c>
      <c r="AS6" s="1">
        <v>0.60508101851851848</v>
      </c>
      <c r="AT6">
        <v>25.041093125679382</v>
      </c>
      <c r="AU6">
        <v>13.772883056654621</v>
      </c>
      <c r="AV6">
        <v>59.913195402298847</v>
      </c>
      <c r="AW6">
        <v>0.491149425287357</v>
      </c>
      <c r="AX6">
        <v>6.9135256891596462E-3</v>
      </c>
      <c r="AY6">
        <v>2.2557558106997541E-2</v>
      </c>
      <c r="AZ6" s="7">
        <v>0.60486111111111107</v>
      </c>
      <c r="BA6" s="7">
        <v>0.6069444444444444</v>
      </c>
      <c r="BB6" t="s">
        <v>139</v>
      </c>
      <c r="BC6" t="s">
        <v>624</v>
      </c>
      <c r="BD6" t="s">
        <v>625</v>
      </c>
      <c r="BE6" t="s">
        <v>101</v>
      </c>
      <c r="BF6" t="s">
        <v>626</v>
      </c>
      <c r="BG6" t="s">
        <v>101</v>
      </c>
      <c r="BH6" t="s">
        <v>627</v>
      </c>
      <c r="BI6" t="s">
        <v>101</v>
      </c>
      <c r="BJ6" t="s">
        <v>628</v>
      </c>
      <c r="BK6" t="s">
        <v>101</v>
      </c>
      <c r="BL6" t="s">
        <v>629</v>
      </c>
      <c r="BM6" t="s">
        <v>105</v>
      </c>
      <c r="BN6" t="s">
        <v>106</v>
      </c>
      <c r="BO6" t="s">
        <v>101</v>
      </c>
      <c r="BP6" t="s">
        <v>391</v>
      </c>
      <c r="BQ6" t="s">
        <v>101</v>
      </c>
      <c r="BR6" t="s">
        <v>630</v>
      </c>
      <c r="BS6" t="s">
        <v>101</v>
      </c>
      <c r="BT6" t="s">
        <v>631</v>
      </c>
      <c r="BU6" t="s">
        <v>346</v>
      </c>
      <c r="BV6" t="s">
        <v>632</v>
      </c>
      <c r="BW6" t="s">
        <v>112</v>
      </c>
      <c r="BX6" t="s">
        <v>111</v>
      </c>
      <c r="BY6" t="s">
        <v>123</v>
      </c>
      <c r="BZ6" t="s">
        <v>123</v>
      </c>
      <c r="CA6" t="s">
        <v>114</v>
      </c>
      <c r="CB6" t="s">
        <v>111</v>
      </c>
      <c r="CC6" t="s">
        <v>123</v>
      </c>
      <c r="CD6" t="s">
        <v>111</v>
      </c>
      <c r="CE6" t="s">
        <v>112</v>
      </c>
      <c r="CF6" t="s">
        <v>111</v>
      </c>
      <c r="CG6" t="s">
        <v>112</v>
      </c>
      <c r="CH6" t="s">
        <v>111</v>
      </c>
      <c r="CI6" t="s">
        <v>111</v>
      </c>
      <c r="CJ6" t="s">
        <v>111</v>
      </c>
      <c r="CK6" t="s">
        <v>114</v>
      </c>
      <c r="CL6" t="s">
        <v>124</v>
      </c>
      <c r="CM6" t="s">
        <v>155</v>
      </c>
      <c r="CN6" t="s">
        <v>117</v>
      </c>
      <c r="CO6">
        <v>23.728134355579819</v>
      </c>
      <c r="CP6">
        <v>12.842294510790429</v>
      </c>
      <c r="CQ6">
        <v>78.346728813559309</v>
      </c>
      <c r="CR6">
        <v>0.51223728813559355</v>
      </c>
      <c r="CS6">
        <v>6.4796577486611901E-3</v>
      </c>
      <c r="CT6">
        <v>2.0627281785633202E-2</v>
      </c>
      <c r="CU6" t="s">
        <v>633</v>
      </c>
    </row>
    <row r="7" spans="1:99">
      <c r="A7">
        <v>6</v>
      </c>
      <c r="B7" t="s">
        <v>149</v>
      </c>
      <c r="C7" t="s">
        <v>95</v>
      </c>
      <c r="D7">
        <v>28</v>
      </c>
      <c r="E7" t="s">
        <v>138</v>
      </c>
      <c r="F7" t="s">
        <v>127</v>
      </c>
      <c r="H7" s="1">
        <v>0.66180555555555554</v>
      </c>
      <c r="I7" s="1">
        <f t="shared" si="0"/>
        <v>0.66319444444444442</v>
      </c>
      <c r="J7">
        <v>131.8158805426952</v>
      </c>
      <c r="K7">
        <v>107.2440866325378</v>
      </c>
      <c r="L7">
        <v>58.069685393258432</v>
      </c>
      <c r="M7">
        <v>0.5117528089887643</v>
      </c>
      <c r="N7">
        <v>6.0140390146175083E-3</v>
      </c>
      <c r="O7">
        <v>1.0278850923838319E-2</v>
      </c>
      <c r="P7" s="1">
        <v>0.66336805555555556</v>
      </c>
      <c r="Q7" s="1">
        <v>0.66416666666666668</v>
      </c>
      <c r="R7">
        <v>6</v>
      </c>
      <c r="S7">
        <v>5</v>
      </c>
      <c r="T7">
        <v>87.405928339868197</v>
      </c>
      <c r="U7">
        <v>84.768415170547357</v>
      </c>
      <c r="V7">
        <v>34.38219607843137</v>
      </c>
      <c r="W7">
        <v>0.48172549019607841</v>
      </c>
      <c r="X7">
        <v>4.0374843494363826E-3</v>
      </c>
      <c r="Y7">
        <v>7.6658841270245822E-3</v>
      </c>
      <c r="Z7" s="1">
        <v>0.66417824074074072</v>
      </c>
      <c r="AA7" s="1">
        <v>0.66527777777777775</v>
      </c>
      <c r="AB7">
        <v>105.4503557992342</v>
      </c>
      <c r="AC7">
        <v>78.361069051265247</v>
      </c>
      <c r="AD7">
        <v>46.177314285714282</v>
      </c>
      <c r="AE7">
        <v>0.5632571428571419</v>
      </c>
      <c r="AF7">
        <v>3.504347579273882E-3</v>
      </c>
      <c r="AG7">
        <v>6.955241554384769E-3</v>
      </c>
      <c r="AH7" s="1">
        <v>0.66547453703703707</v>
      </c>
      <c r="AI7" s="1">
        <v>0.66667824074074078</v>
      </c>
      <c r="AJ7">
        <v>7</v>
      </c>
      <c r="AK7">
        <v>6</v>
      </c>
      <c r="AL7">
        <v>57.313496792645097</v>
      </c>
      <c r="AM7">
        <v>57.177209912108047</v>
      </c>
      <c r="AN7">
        <v>50.589684210526308</v>
      </c>
      <c r="AO7">
        <v>0.53323684210526345</v>
      </c>
      <c r="AP7">
        <v>3.1910070837024248E-3</v>
      </c>
      <c r="AQ7">
        <v>6.4650129468871486E-3</v>
      </c>
      <c r="AR7" s="1">
        <v>0.66668981481481482</v>
      </c>
      <c r="AS7" s="1">
        <v>0.66806712962962966</v>
      </c>
      <c r="AT7">
        <v>98.551023619723722</v>
      </c>
      <c r="AU7">
        <v>79.601620024016682</v>
      </c>
      <c r="AV7">
        <v>59.186272727272723</v>
      </c>
      <c r="AW7">
        <v>0.41825000000000018</v>
      </c>
      <c r="AX7">
        <v>3.4293539721413518E-3</v>
      </c>
      <c r="AY7">
        <v>6.7514439168525012E-3</v>
      </c>
      <c r="AZ7" s="7">
        <v>0.66805555555555551</v>
      </c>
      <c r="BA7" s="7">
        <v>0.6694444444444444</v>
      </c>
      <c r="BB7" t="s">
        <v>133</v>
      </c>
      <c r="BC7" t="s">
        <v>129</v>
      </c>
      <c r="BD7" t="s">
        <v>634</v>
      </c>
      <c r="BE7" t="s">
        <v>133</v>
      </c>
      <c r="BF7" t="s">
        <v>129</v>
      </c>
      <c r="BG7" t="s">
        <v>133</v>
      </c>
      <c r="BH7" t="s">
        <v>129</v>
      </c>
      <c r="BI7" t="s">
        <v>133</v>
      </c>
      <c r="BJ7" t="s">
        <v>129</v>
      </c>
      <c r="BK7" t="s">
        <v>133</v>
      </c>
      <c r="BL7" t="s">
        <v>129</v>
      </c>
      <c r="BM7" t="s">
        <v>133</v>
      </c>
      <c r="BN7" t="s">
        <v>129</v>
      </c>
      <c r="BO7" t="s">
        <v>133</v>
      </c>
      <c r="BP7" t="s">
        <v>129</v>
      </c>
      <c r="BQ7" t="s">
        <v>133</v>
      </c>
      <c r="BR7" t="s">
        <v>129</v>
      </c>
      <c r="BS7" t="s">
        <v>133</v>
      </c>
      <c r="BT7" t="s">
        <v>129</v>
      </c>
      <c r="BU7" t="s">
        <v>491</v>
      </c>
      <c r="BV7" t="s">
        <v>133</v>
      </c>
      <c r="BW7" t="s">
        <v>123</v>
      </c>
      <c r="BX7" t="s">
        <v>123</v>
      </c>
      <c r="BY7" t="s">
        <v>112</v>
      </c>
      <c r="BZ7" t="s">
        <v>111</v>
      </c>
      <c r="CA7" t="s">
        <v>111</v>
      </c>
      <c r="CB7" t="s">
        <v>123</v>
      </c>
      <c r="CC7" t="s">
        <v>112</v>
      </c>
      <c r="CD7" t="s">
        <v>112</v>
      </c>
      <c r="CE7" t="s">
        <v>123</v>
      </c>
      <c r="CF7" t="s">
        <v>123</v>
      </c>
      <c r="CG7" t="s">
        <v>123</v>
      </c>
      <c r="CH7" t="s">
        <v>111</v>
      </c>
      <c r="CI7" t="s">
        <v>111</v>
      </c>
      <c r="CJ7" t="s">
        <v>112</v>
      </c>
      <c r="CK7" t="s">
        <v>111</v>
      </c>
      <c r="CL7" t="s">
        <v>124</v>
      </c>
      <c r="CM7" t="s">
        <v>116</v>
      </c>
      <c r="CN7" t="s">
        <v>117</v>
      </c>
      <c r="CO7">
        <v>58.528206707468769</v>
      </c>
      <c r="CP7">
        <v>51.07409287459803</v>
      </c>
      <c r="CQ7">
        <v>57.101227272727257</v>
      </c>
      <c r="CR7">
        <v>0.47106818181818161</v>
      </c>
      <c r="CS7">
        <v>3.9430122280893426E-3</v>
      </c>
      <c r="CT7">
        <v>7.5163429366616741E-3</v>
      </c>
      <c r="CU7" t="s">
        <v>635</v>
      </c>
    </row>
    <row r="8" spans="1:99">
      <c r="A8">
        <v>7</v>
      </c>
      <c r="B8" t="s">
        <v>137</v>
      </c>
      <c r="C8" t="s">
        <v>95</v>
      </c>
      <c r="D8">
        <v>27</v>
      </c>
      <c r="E8" t="s">
        <v>138</v>
      </c>
      <c r="F8" t="s">
        <v>157</v>
      </c>
      <c r="H8" s="1">
        <v>0.50069444444444444</v>
      </c>
      <c r="I8" s="1">
        <f t="shared" si="0"/>
        <v>0.50208333333333333</v>
      </c>
      <c r="J8">
        <v>56.406889883039661</v>
      </c>
      <c r="K8">
        <v>34.947439525833069</v>
      </c>
      <c r="L8">
        <v>58.487103448275867</v>
      </c>
      <c r="M8">
        <v>0.5104367816091957</v>
      </c>
      <c r="N8">
        <v>1.0955922544502859E-2</v>
      </c>
      <c r="O8">
        <v>2.5807564543491941E-2</v>
      </c>
      <c r="P8" s="1">
        <v>0.50232638888888892</v>
      </c>
      <c r="Q8" s="1">
        <v>0.50344907407407402</v>
      </c>
      <c r="R8">
        <v>7</v>
      </c>
      <c r="S8">
        <v>6</v>
      </c>
      <c r="T8">
        <v>44.467109409450842</v>
      </c>
      <c r="U8">
        <v>28.029085422639412</v>
      </c>
      <c r="V8">
        <v>48.186366197183091</v>
      </c>
      <c r="W8">
        <v>0.57414084507042218</v>
      </c>
      <c r="X8">
        <v>1.4723452782210669E-2</v>
      </c>
      <c r="Y8">
        <v>3.6718318908206857E-2</v>
      </c>
      <c r="Z8" s="1">
        <v>0.50346064814814817</v>
      </c>
      <c r="AA8" s="1">
        <v>0.50466435185185188</v>
      </c>
      <c r="AB8">
        <v>61.177924261848112</v>
      </c>
      <c r="AC8">
        <v>42.216089328574483</v>
      </c>
      <c r="AD8">
        <v>52.563569620253162</v>
      </c>
      <c r="AE8">
        <v>0.53491139240506325</v>
      </c>
      <c r="AF8">
        <v>1.043148057877448E-2</v>
      </c>
      <c r="AG8">
        <v>2.538271161228255E-2</v>
      </c>
      <c r="AH8" s="1">
        <v>0.50467592592592592</v>
      </c>
      <c r="AI8" s="1">
        <v>0.50569444444444445</v>
      </c>
      <c r="AJ8">
        <v>7</v>
      </c>
      <c r="AK8">
        <v>6</v>
      </c>
      <c r="AL8">
        <v>24.041630560342639</v>
      </c>
      <c r="AM8">
        <v>34.000000000000028</v>
      </c>
      <c r="AN8">
        <v>44.009969230769229</v>
      </c>
      <c r="AO8">
        <v>0.49741538461538443</v>
      </c>
      <c r="AP8">
        <v>1.3576081717993091E-2</v>
      </c>
      <c r="AQ8">
        <v>3.4139395252933948E-2</v>
      </c>
      <c r="AR8" s="1">
        <v>0.50570601851851849</v>
      </c>
      <c r="AS8" s="1">
        <v>0.50708333333333333</v>
      </c>
      <c r="AT8">
        <v>81.517159400266479</v>
      </c>
      <c r="AU8">
        <v>58.310789294505263</v>
      </c>
      <c r="AV8">
        <v>58.500206896551717</v>
      </c>
      <c r="AW8">
        <v>0.46896551724137853</v>
      </c>
      <c r="AX8">
        <v>9.3581224736164117E-3</v>
      </c>
      <c r="AY8">
        <v>2.286453111003809E-2</v>
      </c>
      <c r="AZ8" s="7">
        <v>0.50694444444444442</v>
      </c>
      <c r="BA8" s="7">
        <v>0.50902777777777775</v>
      </c>
      <c r="BB8" t="s">
        <v>161</v>
      </c>
      <c r="BC8" t="s">
        <v>159</v>
      </c>
      <c r="BD8" t="s">
        <v>159</v>
      </c>
      <c r="BE8" t="s">
        <v>161</v>
      </c>
      <c r="BF8" t="s">
        <v>159</v>
      </c>
      <c r="BG8" t="s">
        <v>161</v>
      </c>
      <c r="BH8" t="s">
        <v>159</v>
      </c>
      <c r="BI8" t="s">
        <v>162</v>
      </c>
      <c r="BJ8" t="s">
        <v>636</v>
      </c>
      <c r="BK8" t="s">
        <v>161</v>
      </c>
      <c r="BL8" t="s">
        <v>159</v>
      </c>
      <c r="BM8" t="s">
        <v>161</v>
      </c>
      <c r="BN8" t="s">
        <v>159</v>
      </c>
      <c r="BO8" t="s">
        <v>161</v>
      </c>
      <c r="BP8" t="s">
        <v>159</v>
      </c>
      <c r="BQ8" t="s">
        <v>161</v>
      </c>
      <c r="BR8" t="s">
        <v>159</v>
      </c>
      <c r="BS8" t="s">
        <v>161</v>
      </c>
      <c r="BT8" t="s">
        <v>159</v>
      </c>
      <c r="BU8" t="s">
        <v>637</v>
      </c>
      <c r="BV8" t="s">
        <v>638</v>
      </c>
      <c r="BW8" t="s">
        <v>170</v>
      </c>
      <c r="BX8" t="s">
        <v>170</v>
      </c>
      <c r="BY8" t="s">
        <v>172</v>
      </c>
      <c r="BZ8" t="s">
        <v>171</v>
      </c>
      <c r="CA8" t="s">
        <v>172</v>
      </c>
      <c r="CB8" t="s">
        <v>171</v>
      </c>
      <c r="CC8" t="s">
        <v>170</v>
      </c>
      <c r="CD8" t="s">
        <v>173</v>
      </c>
      <c r="CE8" t="s">
        <v>172</v>
      </c>
      <c r="CF8" t="s">
        <v>171</v>
      </c>
      <c r="CH8" t="s">
        <v>170</v>
      </c>
      <c r="CI8" t="s">
        <v>171</v>
      </c>
      <c r="CJ8" t="s">
        <v>171</v>
      </c>
      <c r="CK8" t="s">
        <v>170</v>
      </c>
      <c r="CL8" t="s">
        <v>175</v>
      </c>
      <c r="CM8" t="s">
        <v>175</v>
      </c>
      <c r="CN8" t="s">
        <v>208</v>
      </c>
      <c r="CO8">
        <v>51.12765526589191</v>
      </c>
      <c r="CP8">
        <v>26.755840483900769</v>
      </c>
      <c r="CQ8">
        <v>83.677999999999997</v>
      </c>
      <c r="CR8">
        <v>0.53645901639344207</v>
      </c>
      <c r="CS8">
        <v>1.003372590944137E-2</v>
      </c>
      <c r="CT8">
        <v>2.4474026139486849E-2</v>
      </c>
      <c r="CU8" t="s">
        <v>639</v>
      </c>
    </row>
    <row r="9" spans="1:99">
      <c r="A9">
        <v>8</v>
      </c>
      <c r="B9" t="s">
        <v>137</v>
      </c>
      <c r="C9" t="s">
        <v>125</v>
      </c>
      <c r="D9">
        <v>24</v>
      </c>
      <c r="E9" t="s">
        <v>119</v>
      </c>
      <c r="F9" t="s">
        <v>157</v>
      </c>
      <c r="H9" s="1">
        <v>0.6166666666666667</v>
      </c>
      <c r="I9" s="1">
        <f t="shared" si="0"/>
        <v>0.61805555555555558</v>
      </c>
      <c r="J9">
        <v>56.66356679109446</v>
      </c>
      <c r="K9">
        <v>50.320521049663817</v>
      </c>
      <c r="L9">
        <v>58.831162790697682</v>
      </c>
      <c r="M9">
        <v>0.54132558139534948</v>
      </c>
      <c r="N9">
        <v>1.6741039503970712E-2</v>
      </c>
      <c r="O9">
        <v>2.7484711177023089E-2</v>
      </c>
      <c r="P9" s="1">
        <v>0.61822916666666672</v>
      </c>
      <c r="Q9" s="1">
        <v>0.61944444444444446</v>
      </c>
      <c r="R9">
        <v>7</v>
      </c>
      <c r="S9">
        <v>6</v>
      </c>
      <c r="T9">
        <v>56.27988966944654</v>
      </c>
      <c r="U9">
        <v>75.700903995075436</v>
      </c>
      <c r="V9">
        <v>51.493162162162157</v>
      </c>
      <c r="W9">
        <v>0.49497297297297199</v>
      </c>
      <c r="X9">
        <v>1.258705433206873E-2</v>
      </c>
      <c r="Y9">
        <v>2.4547896663876571E-2</v>
      </c>
      <c r="Z9" s="1">
        <v>0.6194560185185185</v>
      </c>
      <c r="AA9" s="1">
        <v>0.62083333333333335</v>
      </c>
      <c r="AB9">
        <v>61.399846713738391</v>
      </c>
      <c r="AC9">
        <v>55.821850089086134</v>
      </c>
      <c r="AD9">
        <v>59.504114942528737</v>
      </c>
      <c r="AE9">
        <v>0.50094252873563239</v>
      </c>
      <c r="AF9">
        <v>1.4011620435403769E-2</v>
      </c>
      <c r="AG9">
        <v>2.4498232036848339E-2</v>
      </c>
      <c r="AH9" s="1">
        <v>0.62099537037037034</v>
      </c>
      <c r="AI9" s="1">
        <v>0.62200231481481483</v>
      </c>
      <c r="AJ9">
        <v>6</v>
      </c>
      <c r="AK9">
        <v>6</v>
      </c>
      <c r="AL9">
        <v>45.084558235657362</v>
      </c>
      <c r="AM9">
        <v>51.289459888482369</v>
      </c>
      <c r="AN9">
        <v>43.036406249999999</v>
      </c>
      <c r="AO9">
        <v>0.46737499999999921</v>
      </c>
      <c r="AP9">
        <v>1.1650791777796481E-2</v>
      </c>
      <c r="AQ9">
        <v>2.4010691134064479E-2</v>
      </c>
      <c r="AR9" s="1">
        <v>0.62222222222222223</v>
      </c>
      <c r="AS9" s="1">
        <v>0.62361111111111112</v>
      </c>
      <c r="AT9">
        <v>65.296358084390477</v>
      </c>
      <c r="AU9">
        <v>58.055780799249298</v>
      </c>
      <c r="AV9">
        <v>60.205934065934073</v>
      </c>
      <c r="AW9">
        <v>0.52129670329670319</v>
      </c>
      <c r="AX9">
        <v>1.1465451140371469E-2</v>
      </c>
      <c r="AY9">
        <v>2.2316545901690039E-2</v>
      </c>
      <c r="AZ9" s="7">
        <v>0.62361111111111112</v>
      </c>
      <c r="BA9" s="7">
        <v>0.62708333333333333</v>
      </c>
      <c r="BB9" t="s">
        <v>288</v>
      </c>
      <c r="BC9" t="s">
        <v>640</v>
      </c>
      <c r="BD9" t="s">
        <v>641</v>
      </c>
      <c r="BE9" t="s">
        <v>178</v>
      </c>
      <c r="BF9" t="s">
        <v>159</v>
      </c>
      <c r="BG9" t="s">
        <v>178</v>
      </c>
      <c r="BH9" t="s">
        <v>159</v>
      </c>
      <c r="BI9" t="s">
        <v>178</v>
      </c>
      <c r="BJ9" t="s">
        <v>159</v>
      </c>
      <c r="BK9" t="s">
        <v>179</v>
      </c>
      <c r="BL9" t="s">
        <v>642</v>
      </c>
      <c r="BM9" t="s">
        <v>179</v>
      </c>
      <c r="BN9" t="s">
        <v>643</v>
      </c>
      <c r="BO9" t="s">
        <v>178</v>
      </c>
      <c r="BP9" t="s">
        <v>159</v>
      </c>
      <c r="BQ9" t="s">
        <v>178</v>
      </c>
      <c r="BR9" t="s">
        <v>159</v>
      </c>
      <c r="BS9" t="s">
        <v>179</v>
      </c>
      <c r="BT9" t="s">
        <v>644</v>
      </c>
      <c r="BU9" t="s">
        <v>587</v>
      </c>
      <c r="BV9" t="s">
        <v>645</v>
      </c>
      <c r="BW9" t="s">
        <v>171</v>
      </c>
      <c r="BX9" t="s">
        <v>172</v>
      </c>
      <c r="BY9" t="s">
        <v>170</v>
      </c>
      <c r="BZ9" t="s">
        <v>170</v>
      </c>
      <c r="CA9" t="s">
        <v>171</v>
      </c>
      <c r="CB9" t="s">
        <v>169</v>
      </c>
      <c r="CC9" t="s">
        <v>169</v>
      </c>
      <c r="CD9" t="s">
        <v>171</v>
      </c>
      <c r="CE9" t="s">
        <v>170</v>
      </c>
      <c r="CF9" t="s">
        <v>170</v>
      </c>
      <c r="CH9" t="s">
        <v>171</v>
      </c>
      <c r="CI9" t="s">
        <v>171</v>
      </c>
      <c r="CJ9" t="s">
        <v>170</v>
      </c>
      <c r="CK9" t="s">
        <v>169</v>
      </c>
      <c r="CL9" t="s">
        <v>194</v>
      </c>
      <c r="CM9" t="s">
        <v>207</v>
      </c>
      <c r="CN9" t="s">
        <v>175</v>
      </c>
      <c r="CO9">
        <v>52.488126786118187</v>
      </c>
      <c r="CP9">
        <v>60.83999723173649</v>
      </c>
      <c r="CQ9">
        <v>148.62253023255809</v>
      </c>
      <c r="CR9">
        <v>0.50140465116279054</v>
      </c>
      <c r="CS9">
        <v>1.064935110455177E-2</v>
      </c>
      <c r="CT9">
        <v>1.9205119223365971E-2</v>
      </c>
      <c r="CU9" t="s">
        <v>646</v>
      </c>
    </row>
    <row r="10" spans="1:99">
      <c r="A10">
        <v>9</v>
      </c>
      <c r="B10" t="s">
        <v>188</v>
      </c>
      <c r="C10" t="s">
        <v>95</v>
      </c>
      <c r="D10">
        <v>32</v>
      </c>
      <c r="E10" t="s">
        <v>156</v>
      </c>
      <c r="F10" t="s">
        <v>190</v>
      </c>
      <c r="H10" s="1">
        <v>0.42083333333333328</v>
      </c>
      <c r="I10" s="1">
        <f t="shared" si="0"/>
        <v>0.42222222222222217</v>
      </c>
      <c r="J10">
        <v>142.58407819542421</v>
      </c>
      <c r="K10">
        <v>192.3316356310539</v>
      </c>
      <c r="L10">
        <v>58.708769230769228</v>
      </c>
      <c r="M10">
        <v>0.45096703296703339</v>
      </c>
      <c r="N10">
        <v>9.8174644682620729E-3</v>
      </c>
      <c r="O10">
        <v>1.8304944436772511E-2</v>
      </c>
      <c r="P10" s="1">
        <v>0.42241898148148149</v>
      </c>
      <c r="Q10" s="1">
        <v>0.4236226851851852</v>
      </c>
      <c r="R10">
        <v>8</v>
      </c>
      <c r="S10">
        <v>8</v>
      </c>
      <c r="T10">
        <v>120.08076639518789</v>
      </c>
      <c r="U10">
        <v>144.29036013953711</v>
      </c>
      <c r="V10">
        <v>50.291797468354432</v>
      </c>
      <c r="W10">
        <v>0.50377215189873414</v>
      </c>
      <c r="X10">
        <v>9.5369469000796195E-3</v>
      </c>
      <c r="Y10">
        <v>1.8125968968094049E-2</v>
      </c>
      <c r="Z10" s="1">
        <v>0.42363425925925918</v>
      </c>
      <c r="AA10" s="1">
        <v>0.42501157407407408</v>
      </c>
      <c r="AB10">
        <v>116.5760567431834</v>
      </c>
      <c r="AC10">
        <v>142.40052555176649</v>
      </c>
      <c r="AD10">
        <v>57.376629213483142</v>
      </c>
      <c r="AE10">
        <v>0.48543820224719048</v>
      </c>
      <c r="AF10">
        <v>9.2314376069934801E-3</v>
      </c>
      <c r="AG10">
        <v>1.7364736964315241E-2</v>
      </c>
      <c r="AH10" s="1">
        <v>0.42517361111111113</v>
      </c>
      <c r="AI10" s="1">
        <v>0.42635416666666659</v>
      </c>
      <c r="AJ10">
        <v>8</v>
      </c>
      <c r="AK10">
        <v>8</v>
      </c>
      <c r="AL10">
        <v>84.544731512622619</v>
      </c>
      <c r="AM10">
        <v>126.7219852214356</v>
      </c>
      <c r="AN10">
        <v>51.362105263157893</v>
      </c>
      <c r="AO10">
        <v>0.56594736842105242</v>
      </c>
      <c r="AP10">
        <v>9.3786003745826227E-3</v>
      </c>
      <c r="AQ10">
        <v>1.7854034772731651E-2</v>
      </c>
      <c r="AR10" s="1">
        <v>0.42638888888888887</v>
      </c>
      <c r="AS10" s="1">
        <v>0.42777777777777781</v>
      </c>
      <c r="AT10">
        <v>124.30470101992211</v>
      </c>
      <c r="AU10">
        <v>167.17064634678059</v>
      </c>
      <c r="AV10">
        <v>59.441910112359551</v>
      </c>
      <c r="AW10">
        <v>0.52901123595505606</v>
      </c>
      <c r="AX10">
        <v>9.3320332868375138E-3</v>
      </c>
      <c r="AY10">
        <v>1.766055008489072E-2</v>
      </c>
      <c r="AZ10" s="7">
        <v>0.42777777777777781</v>
      </c>
      <c r="BA10" s="7">
        <v>0.42986111111111108</v>
      </c>
      <c r="BB10" t="s">
        <v>178</v>
      </c>
      <c r="BC10" t="s">
        <v>159</v>
      </c>
      <c r="BD10" t="s">
        <v>178</v>
      </c>
      <c r="BE10" t="s">
        <v>178</v>
      </c>
      <c r="BF10" t="s">
        <v>159</v>
      </c>
      <c r="BG10" t="s">
        <v>178</v>
      </c>
      <c r="BH10" t="s">
        <v>159</v>
      </c>
      <c r="BI10" t="s">
        <v>178</v>
      </c>
      <c r="BJ10" t="s">
        <v>647</v>
      </c>
      <c r="BK10" t="s">
        <v>179</v>
      </c>
      <c r="BL10" t="s">
        <v>648</v>
      </c>
      <c r="BM10" t="s">
        <v>178</v>
      </c>
      <c r="BN10" t="s">
        <v>159</v>
      </c>
      <c r="BO10" t="s">
        <v>178</v>
      </c>
      <c r="BP10" t="s">
        <v>159</v>
      </c>
      <c r="BQ10" t="s">
        <v>178</v>
      </c>
      <c r="BR10" t="s">
        <v>159</v>
      </c>
      <c r="BS10" t="s">
        <v>179</v>
      </c>
      <c r="BT10" t="s">
        <v>649</v>
      </c>
      <c r="BU10" t="s">
        <v>360</v>
      </c>
      <c r="BV10" t="s">
        <v>178</v>
      </c>
      <c r="BW10" t="s">
        <v>169</v>
      </c>
      <c r="BX10" t="s">
        <v>169</v>
      </c>
      <c r="BY10" t="s">
        <v>171</v>
      </c>
      <c r="BZ10" t="s">
        <v>170</v>
      </c>
      <c r="CA10" t="s">
        <v>170</v>
      </c>
      <c r="CB10" t="s">
        <v>170</v>
      </c>
      <c r="CC10" t="s">
        <v>171</v>
      </c>
      <c r="CD10" t="s">
        <v>169</v>
      </c>
      <c r="CE10" t="s">
        <v>169</v>
      </c>
      <c r="CF10" t="s">
        <v>170</v>
      </c>
      <c r="CH10" t="s">
        <v>170</v>
      </c>
      <c r="CI10" t="s">
        <v>171</v>
      </c>
      <c r="CJ10" t="s">
        <v>169</v>
      </c>
      <c r="CK10" t="s">
        <v>172</v>
      </c>
      <c r="CL10" t="s">
        <v>174</v>
      </c>
      <c r="CM10" t="s">
        <v>175</v>
      </c>
      <c r="CN10" t="s">
        <v>175</v>
      </c>
      <c r="CO10">
        <v>149.7998173787048</v>
      </c>
      <c r="CP10">
        <v>202.4016651180369</v>
      </c>
      <c r="CQ10">
        <v>88.462530303030292</v>
      </c>
      <c r="CR10">
        <v>0.4648636363636352</v>
      </c>
      <c r="CS10">
        <v>9.6582164443860755E-3</v>
      </c>
      <c r="CT10">
        <v>1.7655445416310488E-2</v>
      </c>
      <c r="CU10" t="s">
        <v>650</v>
      </c>
    </row>
    <row r="11" spans="1:99">
      <c r="A11">
        <v>10</v>
      </c>
      <c r="B11" t="s">
        <v>137</v>
      </c>
      <c r="C11" t="s">
        <v>95</v>
      </c>
      <c r="D11">
        <v>31</v>
      </c>
      <c r="E11" t="s">
        <v>189</v>
      </c>
      <c r="F11" t="s">
        <v>190</v>
      </c>
      <c r="H11" s="1">
        <v>0.47222222222222221</v>
      </c>
      <c r="I11" s="1">
        <f t="shared" si="0"/>
        <v>0.47361111111111109</v>
      </c>
      <c r="J11">
        <v>57.279330842222564</v>
      </c>
      <c r="K11">
        <v>45.070088566982193</v>
      </c>
      <c r="L11">
        <v>57.228813186813191</v>
      </c>
      <c r="M11">
        <v>0.52492307692307683</v>
      </c>
      <c r="N11">
        <v>6.4598930824022703E-3</v>
      </c>
      <c r="O11">
        <v>1.643318610805428E-2</v>
      </c>
      <c r="P11" s="1">
        <v>0.47375</v>
      </c>
      <c r="Q11" s="1">
        <v>0.47493055555555558</v>
      </c>
      <c r="R11">
        <v>7</v>
      </c>
      <c r="S11">
        <v>7</v>
      </c>
      <c r="T11">
        <v>45.93132905835909</v>
      </c>
      <c r="U11">
        <v>26.234049479877669</v>
      </c>
      <c r="V11">
        <v>50.117769230769227</v>
      </c>
      <c r="W11">
        <v>0.48600000000000049</v>
      </c>
      <c r="X11">
        <v>7.1916646373253864E-3</v>
      </c>
      <c r="Y11">
        <v>1.7970920051474219E-2</v>
      </c>
      <c r="Z11" s="1">
        <v>0.47499999999999998</v>
      </c>
      <c r="AA11" s="1">
        <v>0.47638888888888892</v>
      </c>
      <c r="AB11">
        <v>67.810044786249037</v>
      </c>
      <c r="AC11">
        <v>51.611045329465057</v>
      </c>
      <c r="AD11">
        <v>59.262966292134827</v>
      </c>
      <c r="AE11">
        <v>0.48793258426966279</v>
      </c>
      <c r="AF11">
        <v>7.0207629796317029E-3</v>
      </c>
      <c r="AG11">
        <v>1.7248253832861361E-2</v>
      </c>
      <c r="AH11" s="1">
        <v>0.47653935185185192</v>
      </c>
      <c r="AI11" s="1">
        <v>0.4775578703703704</v>
      </c>
      <c r="AJ11">
        <v>6</v>
      </c>
      <c r="AK11">
        <v>6</v>
      </c>
      <c r="AL11">
        <v>219.91770955803611</v>
      </c>
      <c r="AM11">
        <v>274.5209893339773</v>
      </c>
      <c r="AN11">
        <v>43.807818181818178</v>
      </c>
      <c r="AO11">
        <v>0.50793939393939369</v>
      </c>
      <c r="AP11">
        <v>8.5288419736710228E-3</v>
      </c>
      <c r="AQ11">
        <v>2.303932770558097E-2</v>
      </c>
      <c r="AR11" s="1">
        <v>0.4777777777777778</v>
      </c>
      <c r="AS11" s="1">
        <v>0.47916666666666669</v>
      </c>
      <c r="AT11">
        <v>58.881231125732953</v>
      </c>
      <c r="AU11">
        <v>74.636619698375853</v>
      </c>
      <c r="AV11">
        <v>60.179422222222222</v>
      </c>
      <c r="AW11">
        <v>0.460666666666667</v>
      </c>
      <c r="AX11">
        <v>7.4956307556366519E-3</v>
      </c>
      <c r="AY11">
        <v>1.9097461020882781E-2</v>
      </c>
      <c r="AZ11" s="7">
        <v>0.47916666666666669</v>
      </c>
      <c r="BA11" s="7">
        <v>0.48333333333333328</v>
      </c>
      <c r="BB11" t="s">
        <v>195</v>
      </c>
      <c r="BC11" t="s">
        <v>196</v>
      </c>
      <c r="BD11" t="s">
        <v>651</v>
      </c>
      <c r="BE11" t="s">
        <v>178</v>
      </c>
      <c r="BF11" t="s">
        <v>159</v>
      </c>
      <c r="BG11" t="s">
        <v>179</v>
      </c>
      <c r="BH11" t="s">
        <v>652</v>
      </c>
      <c r="BI11" t="s">
        <v>179</v>
      </c>
      <c r="BJ11" t="s">
        <v>653</v>
      </c>
      <c r="BK11" t="s">
        <v>179</v>
      </c>
      <c r="BL11" t="s">
        <v>654</v>
      </c>
      <c r="BM11" t="s">
        <v>179</v>
      </c>
      <c r="BN11" t="s">
        <v>655</v>
      </c>
      <c r="BO11" t="s">
        <v>179</v>
      </c>
      <c r="BP11" t="s">
        <v>656</v>
      </c>
      <c r="BQ11" t="s">
        <v>178</v>
      </c>
      <c r="BR11" t="s">
        <v>159</v>
      </c>
      <c r="BS11" t="s">
        <v>179</v>
      </c>
      <c r="BT11" t="s">
        <v>657</v>
      </c>
      <c r="BU11" t="s">
        <v>186</v>
      </c>
      <c r="BV11" t="s">
        <v>658</v>
      </c>
      <c r="BW11" t="s">
        <v>173</v>
      </c>
      <c r="BX11" t="s">
        <v>172</v>
      </c>
      <c r="BY11" t="s">
        <v>170</v>
      </c>
      <c r="BZ11" t="s">
        <v>171</v>
      </c>
      <c r="CA11" t="s">
        <v>173</v>
      </c>
      <c r="CB11" t="s">
        <v>172</v>
      </c>
      <c r="CC11" t="s">
        <v>170</v>
      </c>
      <c r="CD11" t="s">
        <v>171</v>
      </c>
      <c r="CE11" t="s">
        <v>173</v>
      </c>
      <c r="CF11" t="s">
        <v>172</v>
      </c>
      <c r="CH11" t="s">
        <v>173</v>
      </c>
      <c r="CI11" t="s">
        <v>172</v>
      </c>
      <c r="CJ11" t="s">
        <v>172</v>
      </c>
      <c r="CK11" t="s">
        <v>173</v>
      </c>
      <c r="CL11" t="s">
        <v>208</v>
      </c>
      <c r="CM11" t="s">
        <v>194</v>
      </c>
      <c r="CN11" t="s">
        <v>194</v>
      </c>
      <c r="CO11">
        <v>46.799542220827583</v>
      </c>
      <c r="CP11">
        <v>33.070521445031282</v>
      </c>
      <c r="CQ11">
        <v>86.747171171171189</v>
      </c>
      <c r="CR11">
        <v>0.53414414414414391</v>
      </c>
      <c r="CS11">
        <v>2.328257899472836E-2</v>
      </c>
      <c r="CT11">
        <v>4.3009344526151537E-2</v>
      </c>
      <c r="CU11" t="s">
        <v>659</v>
      </c>
    </row>
    <row r="12" spans="1:99">
      <c r="A12">
        <v>11</v>
      </c>
      <c r="B12" t="s">
        <v>209</v>
      </c>
      <c r="C12" t="s">
        <v>95</v>
      </c>
      <c r="D12">
        <v>29</v>
      </c>
      <c r="E12" t="s">
        <v>156</v>
      </c>
      <c r="F12" t="s">
        <v>190</v>
      </c>
      <c r="H12" s="1">
        <v>0.58750000000000002</v>
      </c>
      <c r="I12" s="1">
        <f t="shared" si="0"/>
        <v>0.58888888888888891</v>
      </c>
      <c r="J12">
        <v>375.79921500716341</v>
      </c>
      <c r="K12">
        <v>483.63209157375002</v>
      </c>
      <c r="L12">
        <v>59.626377777777783</v>
      </c>
      <c r="M12">
        <v>0.47888888888888909</v>
      </c>
      <c r="N12">
        <v>1.067901533803128E-2</v>
      </c>
      <c r="O12">
        <v>2.8868228103741081E-2</v>
      </c>
      <c r="P12" s="1">
        <v>0.5891319444444445</v>
      </c>
      <c r="Q12" s="1">
        <v>0.5900347222222222</v>
      </c>
      <c r="R12">
        <v>6</v>
      </c>
      <c r="S12">
        <v>5</v>
      </c>
      <c r="T12">
        <v>197.6091129166615</v>
      </c>
      <c r="U12">
        <v>241.44434669095</v>
      </c>
      <c r="V12">
        <v>38.724847457627121</v>
      </c>
      <c r="W12">
        <v>0.45335593220338971</v>
      </c>
      <c r="X12">
        <v>1.2262196302330469E-2</v>
      </c>
      <c r="Y12">
        <v>3.8380942152179527E-2</v>
      </c>
      <c r="Z12" s="1">
        <v>0.59004629629629635</v>
      </c>
      <c r="AA12" s="1">
        <v>0.59109953703703699</v>
      </c>
      <c r="AB12">
        <v>153.51635796457541</v>
      </c>
      <c r="AC12">
        <v>166.22130466307189</v>
      </c>
      <c r="AD12">
        <v>45.053142857142859</v>
      </c>
      <c r="AE12">
        <v>0.45765714285714332</v>
      </c>
      <c r="AF12">
        <v>1.2081023236560561E-2</v>
      </c>
      <c r="AG12">
        <v>3.3869452468364973E-2</v>
      </c>
      <c r="AH12" s="1">
        <v>0.59111111111111114</v>
      </c>
      <c r="AI12" s="1">
        <v>0.59206018518518522</v>
      </c>
      <c r="AJ12">
        <v>5</v>
      </c>
      <c r="AK12">
        <v>5</v>
      </c>
      <c r="AL12">
        <v>83.097590513032557</v>
      </c>
      <c r="AM12">
        <v>112.74230610647869</v>
      </c>
      <c r="AN12">
        <v>40.896161290322581</v>
      </c>
      <c r="AO12">
        <v>0.44922580645161331</v>
      </c>
      <c r="AP12">
        <v>1.183216468409567E-2</v>
      </c>
      <c r="AQ12">
        <v>3.5615824327047338E-2</v>
      </c>
      <c r="AR12" s="1">
        <v>0.59236111111111112</v>
      </c>
      <c r="AS12" s="1">
        <v>0.59375</v>
      </c>
      <c r="AT12">
        <v>69.380639103474465</v>
      </c>
      <c r="AU12">
        <v>68.568074483123794</v>
      </c>
      <c r="AV12">
        <v>59.38000000000001</v>
      </c>
      <c r="AW12">
        <v>0.5053111111111106</v>
      </c>
      <c r="AX12">
        <v>1.119089165360861E-2</v>
      </c>
      <c r="AY12">
        <v>3.016439692458605E-2</v>
      </c>
      <c r="AZ12" s="7">
        <v>0.59375</v>
      </c>
      <c r="BA12" s="7">
        <v>0.59652777777777777</v>
      </c>
      <c r="BB12" t="s">
        <v>128</v>
      </c>
      <c r="BC12" t="s">
        <v>129</v>
      </c>
      <c r="BD12" t="s">
        <v>660</v>
      </c>
      <c r="BE12" t="s">
        <v>133</v>
      </c>
      <c r="BF12" t="s">
        <v>129</v>
      </c>
      <c r="BG12" t="s">
        <v>133</v>
      </c>
      <c r="BH12" t="s">
        <v>129</v>
      </c>
      <c r="BI12" t="s">
        <v>131</v>
      </c>
      <c r="BJ12" t="s">
        <v>661</v>
      </c>
      <c r="BK12" t="s">
        <v>131</v>
      </c>
      <c r="BL12" t="s">
        <v>521</v>
      </c>
      <c r="BM12" t="s">
        <v>133</v>
      </c>
      <c r="BN12" t="s">
        <v>129</v>
      </c>
      <c r="BO12" t="s">
        <v>131</v>
      </c>
      <c r="BP12" t="s">
        <v>662</v>
      </c>
      <c r="BQ12" t="s">
        <v>133</v>
      </c>
      <c r="BR12" t="s">
        <v>129</v>
      </c>
      <c r="BS12" t="s">
        <v>131</v>
      </c>
      <c r="BT12" t="s">
        <v>663</v>
      </c>
      <c r="BU12" t="s">
        <v>109</v>
      </c>
      <c r="BV12" t="s">
        <v>664</v>
      </c>
      <c r="BW12" t="s">
        <v>114</v>
      </c>
      <c r="BX12" t="s">
        <v>111</v>
      </c>
      <c r="BY12" t="s">
        <v>112</v>
      </c>
      <c r="BZ12" t="s">
        <v>123</v>
      </c>
      <c r="CA12" t="s">
        <v>114</v>
      </c>
      <c r="CB12" t="s">
        <v>113</v>
      </c>
      <c r="CC12" t="s">
        <v>112</v>
      </c>
      <c r="CD12" t="s">
        <v>111</v>
      </c>
      <c r="CE12" t="s">
        <v>112</v>
      </c>
      <c r="CF12" t="s">
        <v>111</v>
      </c>
      <c r="CG12" t="s">
        <v>114</v>
      </c>
      <c r="CH12" t="s">
        <v>114</v>
      </c>
      <c r="CI12" t="s">
        <v>111</v>
      </c>
      <c r="CJ12" t="s">
        <v>111</v>
      </c>
      <c r="CK12" t="s">
        <v>114</v>
      </c>
      <c r="CL12" t="s">
        <v>155</v>
      </c>
      <c r="CM12" t="s">
        <v>124</v>
      </c>
      <c r="CN12" t="s">
        <v>116</v>
      </c>
      <c r="CO12">
        <v>60.882252553699558</v>
      </c>
      <c r="CP12">
        <v>59.603900879053057</v>
      </c>
      <c r="CQ12">
        <v>118.9574823529412</v>
      </c>
      <c r="CR12">
        <v>0.58045882352941103</v>
      </c>
      <c r="CS12">
        <v>1.14368118105893E-2</v>
      </c>
      <c r="CT12">
        <v>2.5657464445175721E-2</v>
      </c>
      <c r="CU12" t="s">
        <v>665</v>
      </c>
    </row>
    <row r="13" spans="1:99">
      <c r="A13">
        <v>12</v>
      </c>
      <c r="B13" t="s">
        <v>99</v>
      </c>
      <c r="C13" t="s">
        <v>95</v>
      </c>
      <c r="D13">
        <v>21</v>
      </c>
      <c r="E13" t="s">
        <v>334</v>
      </c>
      <c r="F13" t="s">
        <v>190</v>
      </c>
      <c r="H13" s="1">
        <v>0.63680555555555551</v>
      </c>
      <c r="I13" s="1">
        <f t="shared" si="0"/>
        <v>0.6381944444444444</v>
      </c>
      <c r="J13">
        <v>66.39000048382978</v>
      </c>
      <c r="K13">
        <v>84.853237158563331</v>
      </c>
      <c r="L13">
        <v>58.746634146341457</v>
      </c>
      <c r="M13">
        <v>0.53541463414634205</v>
      </c>
      <c r="N13">
        <v>1.5783969016106129E-2</v>
      </c>
      <c r="O13">
        <v>4.9394277587892707E-2</v>
      </c>
      <c r="P13" s="1">
        <v>0.64533564814814814</v>
      </c>
      <c r="Q13" s="1">
        <v>0.64643518518518517</v>
      </c>
      <c r="R13">
        <v>7</v>
      </c>
      <c r="S13">
        <v>7</v>
      </c>
      <c r="T13">
        <v>132.4190370614819</v>
      </c>
      <c r="U13">
        <v>186.94244638623201</v>
      </c>
      <c r="V13">
        <v>48.062382352941171</v>
      </c>
      <c r="W13">
        <v>0.53879411764705853</v>
      </c>
      <c r="X13">
        <v>1.6881256876976419E-2</v>
      </c>
      <c r="Y13">
        <v>5.6429457593300578E-2</v>
      </c>
      <c r="Z13" s="1">
        <v>0.64652777777777781</v>
      </c>
      <c r="AA13" s="1">
        <v>0.64861111111111114</v>
      </c>
      <c r="AB13">
        <v>108.97035610677879</v>
      </c>
      <c r="AC13">
        <v>142.77368991033441</v>
      </c>
      <c r="AD13">
        <v>89.488878787878789</v>
      </c>
      <c r="AE13">
        <v>0.51213636363636383</v>
      </c>
      <c r="AF13">
        <v>1.459461999427423E-2</v>
      </c>
      <c r="AG13">
        <v>3.9255899752137113E-2</v>
      </c>
      <c r="AH13" s="1">
        <v>0.64877314814814813</v>
      </c>
      <c r="AI13" s="1">
        <v>0.64959490740740744</v>
      </c>
      <c r="AJ13">
        <v>6</v>
      </c>
      <c r="AK13">
        <v>5</v>
      </c>
      <c r="AL13">
        <v>371.90859091986567</v>
      </c>
      <c r="AM13">
        <v>489.60800647048262</v>
      </c>
      <c r="AN13">
        <v>34.626301886792447</v>
      </c>
      <c r="AO13">
        <v>0.49513207547169752</v>
      </c>
      <c r="AP13">
        <v>1.9733849158091791E-2</v>
      </c>
      <c r="AQ13">
        <v>6.8360990139547717E-2</v>
      </c>
      <c r="AR13" s="1">
        <v>0.64960648148148148</v>
      </c>
      <c r="AS13" s="1">
        <v>0.65069444444444446</v>
      </c>
      <c r="AT13">
        <v>42.595319231958278</v>
      </c>
      <c r="AU13">
        <v>21.030162066313771</v>
      </c>
      <c r="AV13">
        <v>46.121391304347831</v>
      </c>
      <c r="AW13">
        <v>0.51026086956521766</v>
      </c>
      <c r="AX13">
        <v>1.5723465576210141E-2</v>
      </c>
      <c r="AY13">
        <v>5.1397288942473009E-2</v>
      </c>
      <c r="AZ13" s="7">
        <v>0.65069444444444446</v>
      </c>
      <c r="BA13" s="7">
        <v>0.65277777777777779</v>
      </c>
      <c r="BB13" t="s">
        <v>105</v>
      </c>
      <c r="BC13" t="s">
        <v>106</v>
      </c>
      <c r="BD13" t="s">
        <v>105</v>
      </c>
      <c r="BE13" t="s">
        <v>105</v>
      </c>
      <c r="BF13" t="s">
        <v>106</v>
      </c>
      <c r="BG13" t="s">
        <v>105</v>
      </c>
      <c r="BH13" t="s">
        <v>106</v>
      </c>
      <c r="BI13" t="s">
        <v>101</v>
      </c>
      <c r="BJ13" t="s">
        <v>666</v>
      </c>
      <c r="BK13" t="s">
        <v>101</v>
      </c>
      <c r="BL13" t="s">
        <v>667</v>
      </c>
      <c r="BM13" t="s">
        <v>101</v>
      </c>
      <c r="BN13" t="s">
        <v>668</v>
      </c>
      <c r="BO13" t="s">
        <v>105</v>
      </c>
      <c r="BP13" t="s">
        <v>106</v>
      </c>
      <c r="BQ13" t="s">
        <v>105</v>
      </c>
      <c r="BR13" t="s">
        <v>106</v>
      </c>
      <c r="BS13" t="s">
        <v>101</v>
      </c>
      <c r="BT13" t="s">
        <v>669</v>
      </c>
      <c r="BU13" t="s">
        <v>273</v>
      </c>
      <c r="BV13" t="s">
        <v>670</v>
      </c>
      <c r="BW13" t="s">
        <v>111</v>
      </c>
      <c r="BX13" t="s">
        <v>111</v>
      </c>
      <c r="BY13" t="s">
        <v>123</v>
      </c>
      <c r="BZ13" t="s">
        <v>123</v>
      </c>
      <c r="CA13" t="s">
        <v>112</v>
      </c>
      <c r="CB13" t="s">
        <v>111</v>
      </c>
      <c r="CC13" t="s">
        <v>123</v>
      </c>
      <c r="CD13" t="s">
        <v>111</v>
      </c>
      <c r="CE13" t="s">
        <v>123</v>
      </c>
      <c r="CF13" t="s">
        <v>111</v>
      </c>
      <c r="CG13" t="s">
        <v>112</v>
      </c>
      <c r="CH13" t="s">
        <v>112</v>
      </c>
      <c r="CI13" t="s">
        <v>111</v>
      </c>
      <c r="CJ13" t="s">
        <v>112</v>
      </c>
      <c r="CK13" t="s">
        <v>123</v>
      </c>
      <c r="CL13" t="s">
        <v>124</v>
      </c>
      <c r="CM13" t="s">
        <v>116</v>
      </c>
      <c r="CN13" t="s">
        <v>117</v>
      </c>
      <c r="CO13">
        <v>52.9429873162481</v>
      </c>
      <c r="CP13">
        <v>61.631134673423126</v>
      </c>
      <c r="CQ13">
        <v>89.436449612403095</v>
      </c>
      <c r="CR13">
        <v>0.4962790697674424</v>
      </c>
      <c r="CS13">
        <v>1.42675533278425E-2</v>
      </c>
      <c r="CT13">
        <v>3.7940108334575742E-2</v>
      </c>
      <c r="CU13" t="s">
        <v>671</v>
      </c>
    </row>
    <row r="14" spans="1:99">
      <c r="A14">
        <v>13</v>
      </c>
      <c r="B14" t="s">
        <v>99</v>
      </c>
      <c r="C14" t="s">
        <v>125</v>
      </c>
      <c r="D14">
        <v>24</v>
      </c>
      <c r="E14" t="s">
        <v>119</v>
      </c>
      <c r="F14" t="s">
        <v>220</v>
      </c>
      <c r="H14" s="1">
        <v>0.4909722222222222</v>
      </c>
      <c r="I14" s="1">
        <f t="shared" si="0"/>
        <v>0.49236111111111108</v>
      </c>
      <c r="J14">
        <v>98.339697826373097</v>
      </c>
      <c r="K14">
        <v>121.6794513830865</v>
      </c>
      <c r="L14">
        <v>59.744377777777792</v>
      </c>
      <c r="M14">
        <v>0.50308888888888881</v>
      </c>
      <c r="N14">
        <v>1.0758768009605631E-2</v>
      </c>
      <c r="O14">
        <v>2.3357639985844631E-2</v>
      </c>
      <c r="P14" s="1">
        <v>0.49260416666666668</v>
      </c>
      <c r="Q14" s="1">
        <v>0.49390046296296303</v>
      </c>
      <c r="R14">
        <v>8</v>
      </c>
      <c r="S14">
        <v>8</v>
      </c>
      <c r="T14">
        <v>67.994236599432782</v>
      </c>
      <c r="U14">
        <v>80.432047628506496</v>
      </c>
      <c r="V14">
        <v>56.034888888888887</v>
      </c>
      <c r="W14">
        <v>0.47577777777777841</v>
      </c>
      <c r="X14">
        <v>1.4302089154288621E-2</v>
      </c>
      <c r="Y14">
        <v>2.784695228855167E-2</v>
      </c>
      <c r="Z14" s="1">
        <v>0.49391203703703701</v>
      </c>
      <c r="AA14" s="1">
        <v>0.49513888888888891</v>
      </c>
      <c r="AB14">
        <v>65.982439995711346</v>
      </c>
      <c r="AC14">
        <v>57.734764486425568</v>
      </c>
      <c r="AD14">
        <v>52.3</v>
      </c>
      <c r="AE14">
        <v>0.49937500000000079</v>
      </c>
      <c r="AF14">
        <v>1.091329944501462E-2</v>
      </c>
      <c r="AG14">
        <v>2.443727937066387E-2</v>
      </c>
      <c r="AH14" s="1">
        <v>0.4962152777777778</v>
      </c>
      <c r="AI14" s="1">
        <v>0.49714120370370368</v>
      </c>
      <c r="AJ14">
        <v>6</v>
      </c>
      <c r="AK14">
        <v>6</v>
      </c>
      <c r="AL14">
        <v>370.92676725556771</v>
      </c>
      <c r="AM14">
        <v>669.92735924625765</v>
      </c>
      <c r="AN14">
        <v>39.448622950819669</v>
      </c>
      <c r="AO14">
        <v>0.42898360655737688</v>
      </c>
      <c r="AP14">
        <v>1.138259836769524E-2</v>
      </c>
      <c r="AQ14">
        <v>2.6595223983296199E-2</v>
      </c>
      <c r="AR14" s="1">
        <v>0.49722222222222218</v>
      </c>
      <c r="AS14" s="1">
        <v>0.49861111111111112</v>
      </c>
      <c r="AT14">
        <v>115.41666340676549</v>
      </c>
      <c r="AU14">
        <v>147.40741965186609</v>
      </c>
      <c r="AV14">
        <v>59.773142857142858</v>
      </c>
      <c r="AW14">
        <v>0.51736263736263655</v>
      </c>
      <c r="AX14">
        <v>1.046892805038695E-2</v>
      </c>
      <c r="AY14">
        <v>2.2971726153243749E-2</v>
      </c>
      <c r="AZ14" s="7">
        <v>0.49861111111111112</v>
      </c>
      <c r="BA14" s="7">
        <v>0.50138888888888888</v>
      </c>
      <c r="BB14" t="s">
        <v>101</v>
      </c>
      <c r="BC14" t="s">
        <v>672</v>
      </c>
      <c r="BD14" t="s">
        <v>673</v>
      </c>
      <c r="BE14" t="s">
        <v>101</v>
      </c>
      <c r="BF14" t="s">
        <v>674</v>
      </c>
      <c r="BG14" t="s">
        <v>101</v>
      </c>
      <c r="BH14" t="s">
        <v>675</v>
      </c>
      <c r="BI14" t="s">
        <v>101</v>
      </c>
      <c r="BJ14" t="s">
        <v>676</v>
      </c>
      <c r="BK14" t="s">
        <v>101</v>
      </c>
      <c r="BL14" t="s">
        <v>677</v>
      </c>
      <c r="BM14" t="s">
        <v>101</v>
      </c>
      <c r="BN14" t="s">
        <v>678</v>
      </c>
      <c r="BO14" t="s">
        <v>101</v>
      </c>
      <c r="BP14" t="s">
        <v>679</v>
      </c>
      <c r="BQ14" t="s">
        <v>101</v>
      </c>
      <c r="BR14" t="s">
        <v>680</v>
      </c>
      <c r="BS14" t="s">
        <v>101</v>
      </c>
      <c r="BT14" t="s">
        <v>681</v>
      </c>
      <c r="BU14" t="s">
        <v>533</v>
      </c>
      <c r="BV14" t="s">
        <v>682</v>
      </c>
      <c r="BW14" t="s">
        <v>114</v>
      </c>
      <c r="BX14" t="s">
        <v>113</v>
      </c>
      <c r="BY14" t="s">
        <v>123</v>
      </c>
      <c r="BZ14" t="s">
        <v>123</v>
      </c>
      <c r="CA14" t="s">
        <v>111</v>
      </c>
      <c r="CB14" t="s">
        <v>113</v>
      </c>
      <c r="CC14" t="s">
        <v>123</v>
      </c>
      <c r="CD14" t="s">
        <v>111</v>
      </c>
      <c r="CE14" t="s">
        <v>111</v>
      </c>
      <c r="CF14" t="s">
        <v>111</v>
      </c>
      <c r="CG14" t="s">
        <v>112</v>
      </c>
      <c r="CH14" t="s">
        <v>112</v>
      </c>
      <c r="CI14" t="s">
        <v>111</v>
      </c>
      <c r="CJ14" t="s">
        <v>123</v>
      </c>
      <c r="CK14" t="s">
        <v>114</v>
      </c>
      <c r="CL14" t="s">
        <v>155</v>
      </c>
      <c r="CM14" t="s">
        <v>155</v>
      </c>
      <c r="CN14" t="s">
        <v>116</v>
      </c>
      <c r="CO14">
        <v>56.158519870085293</v>
      </c>
      <c r="CP14">
        <v>55.704156219569732</v>
      </c>
      <c r="CQ14">
        <v>118.40948538011691</v>
      </c>
      <c r="CR14">
        <v>0.51212865497075988</v>
      </c>
      <c r="CS14">
        <v>1.8138981195374521E-2</v>
      </c>
      <c r="CT14">
        <v>2.848509763886509E-2</v>
      </c>
      <c r="CU14" t="s">
        <v>683</v>
      </c>
    </row>
    <row r="15" spans="1:99">
      <c r="A15">
        <v>14</v>
      </c>
      <c r="B15" t="s">
        <v>234</v>
      </c>
      <c r="C15" t="s">
        <v>95</v>
      </c>
      <c r="D15">
        <v>31</v>
      </c>
      <c r="E15" t="s">
        <v>156</v>
      </c>
      <c r="F15" t="s">
        <v>220</v>
      </c>
      <c r="H15" s="1">
        <v>0.61944444444444446</v>
      </c>
      <c r="I15" s="1">
        <f t="shared" si="0"/>
        <v>0.62083333333333335</v>
      </c>
      <c r="J15">
        <v>59.572597653328756</v>
      </c>
      <c r="K15">
        <v>50.229957681136007</v>
      </c>
      <c r="L15">
        <v>59.586833333333331</v>
      </c>
      <c r="M15">
        <v>0.48197619047619022</v>
      </c>
      <c r="N15">
        <v>1.814259168213483E-3</v>
      </c>
      <c r="O15">
        <v>3.8175151670888649E-3</v>
      </c>
      <c r="P15" s="1">
        <v>0.62194444444444441</v>
      </c>
      <c r="Q15" s="1">
        <v>0.62307870370370366</v>
      </c>
      <c r="R15">
        <v>7</v>
      </c>
      <c r="S15">
        <v>7</v>
      </c>
      <c r="T15">
        <v>52.809547405877602</v>
      </c>
      <c r="U15">
        <v>55.973913096803152</v>
      </c>
      <c r="V15">
        <v>50.190378378378377</v>
      </c>
      <c r="W15">
        <v>0.46408108108108143</v>
      </c>
      <c r="X15">
        <v>1.7287580220855399E-3</v>
      </c>
      <c r="Y15">
        <v>3.5042545662617359E-3</v>
      </c>
      <c r="Z15" s="1">
        <v>0.62309027777777781</v>
      </c>
      <c r="AA15" s="1">
        <v>0.62430555555555556</v>
      </c>
      <c r="AB15">
        <v>72.490522946912193</v>
      </c>
      <c r="AC15">
        <v>65.000734929700926</v>
      </c>
      <c r="AD15">
        <v>53.270512820512828</v>
      </c>
      <c r="AE15">
        <v>0.48964102564102518</v>
      </c>
      <c r="AF15">
        <v>1.8428450722512259E-3</v>
      </c>
      <c r="AG15">
        <v>3.766581809575158E-3</v>
      </c>
      <c r="AH15" s="1">
        <v>0.6243981481481482</v>
      </c>
      <c r="AI15" s="1">
        <v>0.62569444444444444</v>
      </c>
      <c r="AJ15">
        <v>7</v>
      </c>
      <c r="AK15">
        <v>7</v>
      </c>
      <c r="AL15">
        <v>54.331515969266448</v>
      </c>
      <c r="AM15">
        <v>40.149719799769038</v>
      </c>
      <c r="AN15">
        <v>56.561414634146352</v>
      </c>
      <c r="AO15">
        <v>0.51980487804878006</v>
      </c>
      <c r="AP15">
        <v>1.592382627227919E-3</v>
      </c>
      <c r="AQ15">
        <v>3.330020915320803E-3</v>
      </c>
      <c r="AR15" s="1">
        <v>0.62570601851851848</v>
      </c>
      <c r="AS15" s="1">
        <v>0.62708333333333333</v>
      </c>
      <c r="AT15">
        <v>78.417185074863937</v>
      </c>
      <c r="AU15">
        <v>89.177665839918447</v>
      </c>
      <c r="AV15">
        <v>57.791208791208788</v>
      </c>
      <c r="AW15">
        <v>0.54962637362637323</v>
      </c>
      <c r="AX15">
        <v>1.648909348298395E-3</v>
      </c>
      <c r="AY15">
        <v>3.4115113035410871E-3</v>
      </c>
      <c r="AZ15" s="7">
        <v>0.62708333333333333</v>
      </c>
      <c r="BA15" s="7">
        <v>0.62847222222222221</v>
      </c>
      <c r="BB15" t="s">
        <v>106</v>
      </c>
      <c r="BC15" t="s">
        <v>196</v>
      </c>
      <c r="BD15" t="s">
        <v>106</v>
      </c>
      <c r="BE15" t="s">
        <v>105</v>
      </c>
      <c r="BF15" t="s">
        <v>106</v>
      </c>
      <c r="BG15" t="s">
        <v>106</v>
      </c>
      <c r="BH15" t="s">
        <v>106</v>
      </c>
      <c r="BI15" t="s">
        <v>105</v>
      </c>
      <c r="BJ15" t="s">
        <v>106</v>
      </c>
      <c r="BK15" t="s">
        <v>105</v>
      </c>
      <c r="BL15" t="s">
        <v>106</v>
      </c>
      <c r="BM15" t="s">
        <v>105</v>
      </c>
      <c r="BN15" t="s">
        <v>106</v>
      </c>
      <c r="BO15" t="s">
        <v>105</v>
      </c>
      <c r="BP15" t="s">
        <v>106</v>
      </c>
      <c r="BQ15" t="s">
        <v>105</v>
      </c>
      <c r="BR15" t="s">
        <v>106</v>
      </c>
      <c r="BS15" t="s">
        <v>105</v>
      </c>
      <c r="BT15" t="s">
        <v>106</v>
      </c>
      <c r="BU15" t="s">
        <v>235</v>
      </c>
      <c r="BV15" t="s">
        <v>106</v>
      </c>
      <c r="BW15" t="s">
        <v>123</v>
      </c>
      <c r="BX15" t="s">
        <v>123</v>
      </c>
      <c r="BY15" t="s">
        <v>112</v>
      </c>
      <c r="BZ15" t="s">
        <v>111</v>
      </c>
      <c r="CA15" t="s">
        <v>111</v>
      </c>
      <c r="CB15" t="s">
        <v>123</v>
      </c>
      <c r="CC15" t="s">
        <v>112</v>
      </c>
      <c r="CD15" t="s">
        <v>111</v>
      </c>
      <c r="CE15" t="s">
        <v>111</v>
      </c>
      <c r="CF15" t="s">
        <v>111</v>
      </c>
      <c r="CG15" t="s">
        <v>123</v>
      </c>
      <c r="CH15" t="s">
        <v>123</v>
      </c>
      <c r="CI15" t="s">
        <v>112</v>
      </c>
      <c r="CJ15" t="s">
        <v>123</v>
      </c>
      <c r="CK15" t="s">
        <v>123</v>
      </c>
      <c r="CL15" t="s">
        <v>155</v>
      </c>
      <c r="CM15" t="s">
        <v>116</v>
      </c>
      <c r="CN15" t="s">
        <v>116</v>
      </c>
      <c r="CO15">
        <v>34.109405291604467</v>
      </c>
      <c r="CP15">
        <v>27.362671460836712</v>
      </c>
      <c r="CQ15">
        <v>57.940719101123598</v>
      </c>
      <c r="CR15">
        <v>0.42555056179775291</v>
      </c>
      <c r="CS15">
        <v>1.695636232030539E-3</v>
      </c>
      <c r="CT15">
        <v>3.4712740547180152E-3</v>
      </c>
      <c r="CU15" t="s">
        <v>684</v>
      </c>
    </row>
    <row r="16" spans="1:99">
      <c r="A16">
        <v>15</v>
      </c>
      <c r="B16" t="s">
        <v>99</v>
      </c>
      <c r="C16" t="s">
        <v>95</v>
      </c>
      <c r="D16">
        <v>27</v>
      </c>
      <c r="E16" t="s">
        <v>156</v>
      </c>
      <c r="F16" t="s">
        <v>220</v>
      </c>
      <c r="H16" s="1">
        <v>0.69097222222222221</v>
      </c>
      <c r="I16" s="1">
        <f t="shared" si="0"/>
        <v>0.69236111111111109</v>
      </c>
      <c r="J16">
        <v>121.21467089116619</v>
      </c>
      <c r="K16">
        <v>73.166631275490431</v>
      </c>
      <c r="L16">
        <v>59.70819753086419</v>
      </c>
      <c r="M16">
        <v>0.51340740740740742</v>
      </c>
      <c r="N16">
        <v>1.458013879144885E-2</v>
      </c>
      <c r="O16">
        <v>4.0162111556645647E-2</v>
      </c>
      <c r="P16" s="1">
        <v>0.69248842592592597</v>
      </c>
      <c r="Q16" s="1">
        <v>0.69355324074074076</v>
      </c>
      <c r="R16">
        <v>7</v>
      </c>
      <c r="S16">
        <v>7</v>
      </c>
      <c r="T16">
        <v>91.465125035224133</v>
      </c>
      <c r="U16">
        <v>83.8233131419111</v>
      </c>
      <c r="V16">
        <v>44.60081690140845</v>
      </c>
      <c r="W16">
        <v>0.47076056338028133</v>
      </c>
      <c r="X16">
        <v>1.2591105195275501E-2</v>
      </c>
      <c r="Y16">
        <v>3.98526997779097E-2</v>
      </c>
      <c r="Z16" s="1">
        <v>0.69374999999999998</v>
      </c>
      <c r="AA16" s="1">
        <v>0.69513888888888886</v>
      </c>
      <c r="AB16">
        <v>121.8037192658191</v>
      </c>
      <c r="AC16">
        <v>91.943082582555334</v>
      </c>
      <c r="AD16">
        <v>60.46648888888889</v>
      </c>
      <c r="AE16">
        <v>0.46633333333333371</v>
      </c>
      <c r="AF16">
        <v>1.148805439992052E-2</v>
      </c>
      <c r="AG16">
        <v>3.3051489356457957E-2</v>
      </c>
      <c r="AH16" s="1">
        <v>0.69535879629629627</v>
      </c>
      <c r="AI16" s="1">
        <v>0.69640046296296299</v>
      </c>
      <c r="AJ16">
        <v>6</v>
      </c>
      <c r="AK16">
        <v>6</v>
      </c>
      <c r="AL16">
        <v>115.29196049858091</v>
      </c>
      <c r="AM16">
        <v>128.9728653632217</v>
      </c>
      <c r="AN16">
        <v>59.883711111111097</v>
      </c>
      <c r="AO16">
        <v>0.51551111111111103</v>
      </c>
      <c r="AP16">
        <v>1.1899491606256109E-2</v>
      </c>
      <c r="AQ16">
        <v>3.3684489095362667E-2</v>
      </c>
      <c r="AR16" s="1">
        <v>0.69652777777777775</v>
      </c>
      <c r="AS16" s="1">
        <v>0.69791666666666663</v>
      </c>
      <c r="AT16">
        <v>107.1334481482974</v>
      </c>
      <c r="AU16">
        <v>102.8356223173239</v>
      </c>
      <c r="AV16">
        <v>58.838917647058842</v>
      </c>
      <c r="AW16">
        <v>0.54543529411764635</v>
      </c>
      <c r="AX16">
        <v>1.238221556662375E-2</v>
      </c>
      <c r="AY16">
        <v>3.5622121653356577E-2</v>
      </c>
      <c r="AZ16" s="7">
        <v>0.69791666666666663</v>
      </c>
      <c r="BA16" s="7">
        <v>0.7006944444444444</v>
      </c>
      <c r="BB16" t="s">
        <v>105</v>
      </c>
      <c r="BC16" t="s">
        <v>106</v>
      </c>
      <c r="BD16" t="s">
        <v>685</v>
      </c>
      <c r="BE16" t="s">
        <v>105</v>
      </c>
      <c r="BF16" t="s">
        <v>106</v>
      </c>
      <c r="BG16" t="s">
        <v>105</v>
      </c>
      <c r="BH16" t="s">
        <v>106</v>
      </c>
      <c r="BI16" t="s">
        <v>101</v>
      </c>
      <c r="BJ16" t="s">
        <v>686</v>
      </c>
      <c r="BK16" t="s">
        <v>105</v>
      </c>
      <c r="BL16" t="s">
        <v>106</v>
      </c>
      <c r="BM16" t="s">
        <v>101</v>
      </c>
      <c r="BN16" t="s">
        <v>409</v>
      </c>
      <c r="BO16" t="s">
        <v>101</v>
      </c>
      <c r="BP16" t="s">
        <v>687</v>
      </c>
      <c r="BQ16" t="s">
        <v>105</v>
      </c>
      <c r="BR16" t="s">
        <v>106</v>
      </c>
      <c r="BS16" t="s">
        <v>105</v>
      </c>
      <c r="BT16" t="s">
        <v>106</v>
      </c>
      <c r="BU16" t="s">
        <v>318</v>
      </c>
      <c r="BV16" t="s">
        <v>688</v>
      </c>
      <c r="BW16" t="s">
        <v>123</v>
      </c>
      <c r="BX16" t="s">
        <v>123</v>
      </c>
      <c r="BY16" t="s">
        <v>123</v>
      </c>
      <c r="BZ16" t="s">
        <v>111</v>
      </c>
      <c r="CA16" t="s">
        <v>112</v>
      </c>
      <c r="CB16" t="s">
        <v>111</v>
      </c>
      <c r="CC16" t="s">
        <v>112</v>
      </c>
      <c r="CD16" t="s">
        <v>123</v>
      </c>
      <c r="CE16" t="s">
        <v>123</v>
      </c>
      <c r="CF16" t="s">
        <v>111</v>
      </c>
      <c r="CG16" t="s">
        <v>123</v>
      </c>
      <c r="CH16" t="s">
        <v>112</v>
      </c>
      <c r="CI16" t="s">
        <v>112</v>
      </c>
      <c r="CJ16" t="s">
        <v>111</v>
      </c>
      <c r="CK16" t="s">
        <v>111</v>
      </c>
      <c r="CL16" t="s">
        <v>115</v>
      </c>
      <c r="CM16" t="s">
        <v>116</v>
      </c>
      <c r="CN16" t="s">
        <v>117</v>
      </c>
      <c r="CO16">
        <v>87.081537110302094</v>
      </c>
      <c r="CP16">
        <v>95.141813109535747</v>
      </c>
      <c r="CQ16">
        <v>119.81110465116279</v>
      </c>
      <c r="CR16">
        <v>0.50761627906976647</v>
      </c>
      <c r="CS16">
        <v>1.001362578143754E-2</v>
      </c>
      <c r="CT16">
        <v>2.4193825327168621E-2</v>
      </c>
      <c r="CU16" t="s">
        <v>689</v>
      </c>
    </row>
    <row r="17" spans="1:99">
      <c r="A17">
        <v>16</v>
      </c>
      <c r="B17" t="s">
        <v>137</v>
      </c>
      <c r="C17" t="s">
        <v>125</v>
      </c>
      <c r="D17">
        <v>63</v>
      </c>
      <c r="E17" t="s">
        <v>138</v>
      </c>
      <c r="F17" t="s">
        <v>245</v>
      </c>
      <c r="H17" s="1">
        <v>0.38750000000000001</v>
      </c>
      <c r="I17" s="1">
        <f t="shared" si="0"/>
        <v>0.3888888888888889</v>
      </c>
      <c r="J17">
        <v>34.692649385005588</v>
      </c>
      <c r="K17">
        <v>20.327847255571069</v>
      </c>
      <c r="L17">
        <v>60.038561797752813</v>
      </c>
      <c r="M17">
        <v>0.46346067415730308</v>
      </c>
      <c r="N17">
        <v>7.8780831258466171E-3</v>
      </c>
      <c r="O17">
        <v>2.1196762551606688E-2</v>
      </c>
      <c r="P17" s="1">
        <v>0.38900462962962962</v>
      </c>
      <c r="Q17" s="1">
        <v>0.39019675925925928</v>
      </c>
      <c r="R17">
        <v>7</v>
      </c>
      <c r="S17">
        <v>6</v>
      </c>
      <c r="T17">
        <v>45.104944693098957</v>
      </c>
      <c r="U17">
        <v>19.014565969494001</v>
      </c>
      <c r="V17">
        <v>51.281224999999992</v>
      </c>
      <c r="W17">
        <v>0.50710000000000011</v>
      </c>
      <c r="X17">
        <v>9.3574535767061984E-3</v>
      </c>
      <c r="Y17">
        <v>2.3710245584221291E-2</v>
      </c>
      <c r="Z17" s="1">
        <v>0.39027777777777778</v>
      </c>
      <c r="AA17" s="1">
        <v>0.39097222222222222</v>
      </c>
      <c r="AB17">
        <v>586.89862838482816</v>
      </c>
      <c r="AC17">
        <v>829.99999999999113</v>
      </c>
      <c r="AD17">
        <v>29.376045454545451</v>
      </c>
      <c r="AE17">
        <v>0.43386363636363701</v>
      </c>
      <c r="AF17">
        <v>1.3138448341698351E-2</v>
      </c>
      <c r="AG17">
        <v>3.9760940435118158E-2</v>
      </c>
      <c r="AH17" s="1">
        <v>0.3911574074074074</v>
      </c>
      <c r="AI17" s="1">
        <v>0.39217592592592587</v>
      </c>
      <c r="AJ17">
        <v>6</v>
      </c>
      <c r="AK17">
        <v>5</v>
      </c>
      <c r="AL17">
        <v>69.572897875623511</v>
      </c>
      <c r="AM17">
        <v>58.363001978994141</v>
      </c>
      <c r="AN17">
        <v>44.353727272727269</v>
      </c>
      <c r="AO17">
        <v>0.49536363636363601</v>
      </c>
      <c r="AP17">
        <v>1.055923061575716E-2</v>
      </c>
      <c r="AQ17">
        <v>3.108147589993741E-2</v>
      </c>
      <c r="AR17" s="1">
        <v>0.39218750000000002</v>
      </c>
      <c r="AS17" s="1">
        <v>0.39305555555555549</v>
      </c>
      <c r="AT17">
        <v>0</v>
      </c>
      <c r="AV17">
        <v>37.121509433962267</v>
      </c>
      <c r="AW17">
        <v>0.48403773584905613</v>
      </c>
      <c r="AX17">
        <v>1.1120587579473261E-2</v>
      </c>
      <c r="AY17">
        <v>3.469476950536423E-2</v>
      </c>
      <c r="AZ17" s="7">
        <v>0.39305555555555549</v>
      </c>
      <c r="BA17" s="7">
        <v>0.39791666666666659</v>
      </c>
      <c r="BB17" t="s">
        <v>543</v>
      </c>
      <c r="BC17" t="s">
        <v>690</v>
      </c>
      <c r="BD17" t="s">
        <v>691</v>
      </c>
      <c r="BE17" t="s">
        <v>162</v>
      </c>
      <c r="BF17" t="s">
        <v>692</v>
      </c>
      <c r="BG17" t="s">
        <v>162</v>
      </c>
      <c r="BH17" t="s">
        <v>547</v>
      </c>
      <c r="BI17" t="s">
        <v>162</v>
      </c>
      <c r="BJ17" t="s">
        <v>693</v>
      </c>
      <c r="BK17" t="s">
        <v>162</v>
      </c>
      <c r="BL17" t="s">
        <v>694</v>
      </c>
      <c r="BM17" t="s">
        <v>162</v>
      </c>
      <c r="BN17" t="s">
        <v>695</v>
      </c>
      <c r="BO17" t="s">
        <v>162</v>
      </c>
      <c r="BP17" t="s">
        <v>418</v>
      </c>
      <c r="BQ17" t="s">
        <v>162</v>
      </c>
      <c r="BR17" t="s">
        <v>696</v>
      </c>
      <c r="BS17" t="s">
        <v>162</v>
      </c>
      <c r="BT17" t="s">
        <v>697</v>
      </c>
      <c r="BU17" t="s">
        <v>318</v>
      </c>
      <c r="BV17" t="s">
        <v>698</v>
      </c>
      <c r="BW17" t="s">
        <v>172</v>
      </c>
      <c r="BX17" t="s">
        <v>173</v>
      </c>
      <c r="BY17" t="s">
        <v>173</v>
      </c>
      <c r="BZ17" t="s">
        <v>172</v>
      </c>
      <c r="CA17" t="s">
        <v>172</v>
      </c>
      <c r="CB17" t="s">
        <v>173</v>
      </c>
      <c r="CC17" t="s">
        <v>171</v>
      </c>
      <c r="CD17" t="s">
        <v>170</v>
      </c>
      <c r="CE17" t="s">
        <v>172</v>
      </c>
      <c r="CF17" t="s">
        <v>173</v>
      </c>
      <c r="CH17" t="s">
        <v>172</v>
      </c>
      <c r="CI17" t="s">
        <v>173</v>
      </c>
      <c r="CJ17" t="s">
        <v>173</v>
      </c>
      <c r="CK17" t="s">
        <v>172</v>
      </c>
      <c r="CL17" t="s">
        <v>174</v>
      </c>
      <c r="CM17" t="s">
        <v>175</v>
      </c>
      <c r="CN17" t="s">
        <v>175</v>
      </c>
      <c r="CO17">
        <v>31.44822169070645</v>
      </c>
      <c r="CP17">
        <v>18.987953362102608</v>
      </c>
      <c r="CQ17">
        <v>212.17055194805201</v>
      </c>
      <c r="CR17">
        <v>0.54576623376623334</v>
      </c>
      <c r="CS17">
        <v>7.6340664888324894E-3</v>
      </c>
      <c r="CT17">
        <v>1.619446659269486E-2</v>
      </c>
      <c r="CU17" t="s">
        <v>699</v>
      </c>
    </row>
    <row r="18" spans="1:99">
      <c r="A18">
        <v>17</v>
      </c>
      <c r="B18" t="s">
        <v>149</v>
      </c>
      <c r="C18" t="s">
        <v>95</v>
      </c>
      <c r="D18">
        <v>40</v>
      </c>
      <c r="E18" t="s">
        <v>189</v>
      </c>
      <c r="F18" t="s">
        <v>245</v>
      </c>
      <c r="H18" s="1">
        <v>0.47569444444444442</v>
      </c>
      <c r="I18" s="1">
        <f t="shared" si="0"/>
        <v>0.4770833333333333</v>
      </c>
      <c r="J18">
        <v>432.26182402052717</v>
      </c>
      <c r="K18">
        <v>595.50865432590558</v>
      </c>
      <c r="L18">
        <v>58.992888888888892</v>
      </c>
      <c r="M18">
        <v>0.50555555555555587</v>
      </c>
      <c r="N18">
        <v>8.617219012625809E-3</v>
      </c>
      <c r="O18">
        <v>2.095765684351893E-2</v>
      </c>
      <c r="P18" s="1">
        <v>0.47745370370370371</v>
      </c>
      <c r="Q18" s="1">
        <v>0.47859953703703711</v>
      </c>
      <c r="R18">
        <v>7</v>
      </c>
      <c r="S18">
        <v>7</v>
      </c>
      <c r="T18">
        <v>411.6373462318918</v>
      </c>
      <c r="U18">
        <v>498.82066978630701</v>
      </c>
      <c r="V18">
        <v>49.112555555555552</v>
      </c>
      <c r="W18">
        <v>0.46752777777777788</v>
      </c>
      <c r="X18">
        <v>8.6273170930801033E-3</v>
      </c>
      <c r="Y18">
        <v>2.1734657707504532E-2</v>
      </c>
      <c r="Z18" s="1">
        <v>0.4786111111111111</v>
      </c>
      <c r="AA18" s="1">
        <v>0.47986111111111113</v>
      </c>
      <c r="AB18">
        <v>369.8056722386246</v>
      </c>
      <c r="AC18">
        <v>479.24291668826493</v>
      </c>
      <c r="AD18">
        <v>54.138627906976737</v>
      </c>
      <c r="AE18">
        <v>0.49641860465116322</v>
      </c>
      <c r="AF18">
        <v>8.0380277763308083E-3</v>
      </c>
      <c r="AG18">
        <v>1.9590285119767591E-2</v>
      </c>
      <c r="AH18" s="1">
        <v>0.47997685185185179</v>
      </c>
      <c r="AI18" s="1">
        <v>0.48105324074074068</v>
      </c>
      <c r="AJ18">
        <v>6</v>
      </c>
      <c r="AK18">
        <v>6</v>
      </c>
      <c r="AL18">
        <v>389.08030382979138</v>
      </c>
      <c r="AM18">
        <v>570.99068612050394</v>
      </c>
      <c r="AN18">
        <v>46.530732394366197</v>
      </c>
      <c r="AO18">
        <v>0.51833802816901442</v>
      </c>
      <c r="AP18">
        <v>1.0183339163813331E-2</v>
      </c>
      <c r="AQ18">
        <v>2.4065161771740329E-2</v>
      </c>
      <c r="AR18" s="1">
        <v>0.48125000000000001</v>
      </c>
      <c r="AS18" s="1">
        <v>0.4826388888888889</v>
      </c>
      <c r="AT18">
        <v>455.22254297910467</v>
      </c>
      <c r="AU18">
        <v>747.02262348606064</v>
      </c>
      <c r="AV18">
        <v>58.167172413793097</v>
      </c>
      <c r="AW18">
        <v>0.47875862068965608</v>
      </c>
      <c r="AX18">
        <v>9.2132115694668112E-3</v>
      </c>
      <c r="AY18">
        <v>2.138824002582821E-2</v>
      </c>
      <c r="AZ18" s="7">
        <v>0.4826388888888889</v>
      </c>
      <c r="BA18" s="7">
        <v>0.48541666666666672</v>
      </c>
      <c r="BB18" t="s">
        <v>257</v>
      </c>
      <c r="BC18" t="s">
        <v>700</v>
      </c>
      <c r="BD18" t="s">
        <v>701</v>
      </c>
      <c r="BE18" t="s">
        <v>101</v>
      </c>
      <c r="BF18" t="s">
        <v>702</v>
      </c>
      <c r="BG18" t="s">
        <v>101</v>
      </c>
      <c r="BH18" t="s">
        <v>703</v>
      </c>
      <c r="BI18" t="s">
        <v>101</v>
      </c>
      <c r="BJ18" t="s">
        <v>704</v>
      </c>
      <c r="BK18" t="s">
        <v>101</v>
      </c>
      <c r="BL18" t="s">
        <v>705</v>
      </c>
      <c r="BM18" t="s">
        <v>101</v>
      </c>
      <c r="BN18" t="s">
        <v>706</v>
      </c>
      <c r="BO18" t="s">
        <v>131</v>
      </c>
      <c r="BP18" t="s">
        <v>707</v>
      </c>
      <c r="BQ18" t="s">
        <v>105</v>
      </c>
      <c r="BR18" t="s">
        <v>106</v>
      </c>
      <c r="BS18" t="s">
        <v>101</v>
      </c>
      <c r="BT18" t="s">
        <v>708</v>
      </c>
      <c r="BU18" t="s">
        <v>235</v>
      </c>
      <c r="BV18" t="s">
        <v>106</v>
      </c>
      <c r="BW18" t="s">
        <v>112</v>
      </c>
      <c r="BX18" t="s">
        <v>111</v>
      </c>
      <c r="BY18" t="s">
        <v>123</v>
      </c>
      <c r="BZ18" t="s">
        <v>111</v>
      </c>
      <c r="CA18" t="s">
        <v>112</v>
      </c>
      <c r="CB18" t="s">
        <v>111</v>
      </c>
      <c r="CC18" t="s">
        <v>112</v>
      </c>
      <c r="CD18" t="s">
        <v>111</v>
      </c>
      <c r="CE18" t="s">
        <v>112</v>
      </c>
      <c r="CF18" t="s">
        <v>111</v>
      </c>
      <c r="CG18" t="s">
        <v>112</v>
      </c>
      <c r="CH18" t="s">
        <v>112</v>
      </c>
      <c r="CI18" t="s">
        <v>111</v>
      </c>
      <c r="CJ18" t="s">
        <v>111</v>
      </c>
      <c r="CK18" t="s">
        <v>112</v>
      </c>
      <c r="CL18" t="s">
        <v>117</v>
      </c>
      <c r="CM18" t="s">
        <v>117</v>
      </c>
      <c r="CN18" t="s">
        <v>117</v>
      </c>
      <c r="CO18">
        <v>380.71734750630969</v>
      </c>
      <c r="CP18">
        <v>514.9177000626762</v>
      </c>
      <c r="CQ18">
        <v>117.5767586206897</v>
      </c>
      <c r="CR18">
        <v>0.51764367816091983</v>
      </c>
      <c r="CS18">
        <v>8.0435954424715288E-3</v>
      </c>
      <c r="CT18">
        <v>1.686123113409364E-2</v>
      </c>
      <c r="CU18" t="s">
        <v>709</v>
      </c>
    </row>
    <row r="19" spans="1:99">
      <c r="A19">
        <v>18</v>
      </c>
      <c r="B19" t="s">
        <v>99</v>
      </c>
      <c r="C19" t="s">
        <v>95</v>
      </c>
      <c r="D19">
        <v>25</v>
      </c>
      <c r="E19" t="s">
        <v>119</v>
      </c>
      <c r="F19" t="s">
        <v>245</v>
      </c>
      <c r="H19" s="1">
        <v>0.60972222222222228</v>
      </c>
      <c r="I19" s="1">
        <f t="shared" si="0"/>
        <v>0.61111111111111116</v>
      </c>
      <c r="J19">
        <v>378.87973871699188</v>
      </c>
      <c r="K19">
        <v>527.55410465025409</v>
      </c>
      <c r="L19">
        <v>58.675887640449432</v>
      </c>
      <c r="M19">
        <v>0.51656179775280953</v>
      </c>
      <c r="N19">
        <v>1.114807808902232E-2</v>
      </c>
      <c r="O19">
        <v>2.457467452941867E-2</v>
      </c>
      <c r="P19" s="1">
        <v>0.61126157407407411</v>
      </c>
      <c r="Q19" s="1">
        <v>0.61238425925925921</v>
      </c>
      <c r="R19">
        <v>7</v>
      </c>
      <c r="S19">
        <v>7</v>
      </c>
      <c r="T19">
        <v>314.04424714863399</v>
      </c>
      <c r="U19">
        <v>429.21886221736497</v>
      </c>
      <c r="V19">
        <v>49.139042253521133</v>
      </c>
      <c r="W19">
        <v>0.55467605633802786</v>
      </c>
      <c r="X19">
        <v>1.15936083379419E-2</v>
      </c>
      <c r="Y19">
        <v>2.7041707820883481E-2</v>
      </c>
      <c r="Z19" s="1">
        <v>0.61250000000000004</v>
      </c>
      <c r="AA19" s="1">
        <v>0.61388888888888893</v>
      </c>
      <c r="AB19">
        <v>371.72563135506448</v>
      </c>
      <c r="AC19">
        <v>493.68483295085599</v>
      </c>
      <c r="AD19">
        <v>59.464307692307699</v>
      </c>
      <c r="AE19">
        <v>0.49129670329670289</v>
      </c>
      <c r="AF19">
        <v>9.3645852493320011E-3</v>
      </c>
      <c r="AG19">
        <v>2.185113651694558E-2</v>
      </c>
      <c r="AH19" s="1">
        <v>0.61403935185185188</v>
      </c>
      <c r="AI19" s="1">
        <v>0.61534722222222227</v>
      </c>
      <c r="AJ19">
        <v>7</v>
      </c>
      <c r="AK19">
        <v>7</v>
      </c>
      <c r="AL19">
        <v>0</v>
      </c>
      <c r="AN19">
        <v>55.078139534883732</v>
      </c>
      <c r="AO19">
        <v>0.47339534883721002</v>
      </c>
      <c r="AP19">
        <v>1.0490256809160501E-2</v>
      </c>
      <c r="AQ19">
        <v>2.3548094436475119E-2</v>
      </c>
      <c r="AR19" s="1">
        <v>0.61535879629629631</v>
      </c>
      <c r="AS19" s="1">
        <v>0.61673611111111115</v>
      </c>
      <c r="AT19">
        <v>0</v>
      </c>
      <c r="AV19">
        <v>56.399505882352933</v>
      </c>
      <c r="AW19">
        <v>0.50762352941176503</v>
      </c>
      <c r="AX19">
        <v>1.1953084818004779E-2</v>
      </c>
      <c r="AY19">
        <v>2.619884288463838E-2</v>
      </c>
      <c r="AZ19" s="7">
        <v>0.6166666666666667</v>
      </c>
      <c r="BA19" s="7">
        <v>0.60624999999999996</v>
      </c>
      <c r="BB19" t="s">
        <v>128</v>
      </c>
      <c r="BC19" t="s">
        <v>196</v>
      </c>
      <c r="BD19" t="s">
        <v>710</v>
      </c>
      <c r="BE19" t="s">
        <v>101</v>
      </c>
      <c r="BF19" t="s">
        <v>711</v>
      </c>
      <c r="BG19" t="s">
        <v>101</v>
      </c>
      <c r="BH19" t="s">
        <v>712</v>
      </c>
      <c r="BI19" t="s">
        <v>105</v>
      </c>
      <c r="BJ19" t="s">
        <v>105</v>
      </c>
      <c r="BK19" t="s">
        <v>101</v>
      </c>
      <c r="BL19" t="s">
        <v>713</v>
      </c>
      <c r="BM19" t="s">
        <v>101</v>
      </c>
      <c r="BN19" t="s">
        <v>714</v>
      </c>
      <c r="BO19" t="s">
        <v>101</v>
      </c>
      <c r="BP19" t="s">
        <v>715</v>
      </c>
      <c r="BQ19" t="s">
        <v>105</v>
      </c>
      <c r="BR19" t="s">
        <v>716</v>
      </c>
      <c r="BS19" t="s">
        <v>101</v>
      </c>
      <c r="BT19" t="s">
        <v>717</v>
      </c>
      <c r="BU19" t="s">
        <v>438</v>
      </c>
      <c r="BV19" t="s">
        <v>718</v>
      </c>
      <c r="BW19" t="s">
        <v>112</v>
      </c>
      <c r="BX19" t="s">
        <v>123</v>
      </c>
      <c r="BY19" t="s">
        <v>112</v>
      </c>
      <c r="BZ19" t="s">
        <v>123</v>
      </c>
      <c r="CA19" t="s">
        <v>123</v>
      </c>
      <c r="CB19" t="s">
        <v>123</v>
      </c>
      <c r="CC19" t="s">
        <v>123</v>
      </c>
      <c r="CD19" t="s">
        <v>123</v>
      </c>
      <c r="CE19" t="s">
        <v>123</v>
      </c>
      <c r="CF19" t="s">
        <v>123</v>
      </c>
      <c r="CG19" t="s">
        <v>123</v>
      </c>
      <c r="CH19" t="s">
        <v>112</v>
      </c>
      <c r="CI19" t="s">
        <v>123</v>
      </c>
      <c r="CJ19" t="s">
        <v>111</v>
      </c>
      <c r="CK19" t="s">
        <v>112</v>
      </c>
      <c r="CL19" t="s">
        <v>117</v>
      </c>
      <c r="CM19" t="s">
        <v>115</v>
      </c>
      <c r="CN19" t="s">
        <v>117</v>
      </c>
      <c r="CO19">
        <v>0</v>
      </c>
      <c r="CQ19">
        <v>149.2575069767442</v>
      </c>
      <c r="CR19">
        <v>0.50553488372092958</v>
      </c>
      <c r="CS19">
        <v>9.9830230120327556E-3</v>
      </c>
      <c r="CT19">
        <v>1.9550361555916631E-2</v>
      </c>
      <c r="CU19" t="s">
        <v>719</v>
      </c>
    </row>
    <row r="20" spans="1:99">
      <c r="A20">
        <v>19</v>
      </c>
      <c r="B20" t="s">
        <v>118</v>
      </c>
      <c r="C20" t="s">
        <v>95</v>
      </c>
      <c r="D20">
        <v>19</v>
      </c>
      <c r="E20" t="s">
        <v>156</v>
      </c>
      <c r="F20" t="s">
        <v>245</v>
      </c>
      <c r="H20" s="1">
        <v>0.67291666666666672</v>
      </c>
      <c r="I20" s="1">
        <f t="shared" si="0"/>
        <v>0.6743055555555556</v>
      </c>
      <c r="J20">
        <v>92.197770179521896</v>
      </c>
      <c r="K20">
        <v>112.4399621933384</v>
      </c>
      <c r="L20">
        <v>58.813638554216858</v>
      </c>
      <c r="M20">
        <v>0.51395180722891531</v>
      </c>
      <c r="N20">
        <v>1.3700534236867771E-2</v>
      </c>
      <c r="O20">
        <v>3.4087524066567537E-2</v>
      </c>
      <c r="P20" s="1">
        <v>0.67480324074074072</v>
      </c>
      <c r="Q20" s="1">
        <v>0.67587962962962966</v>
      </c>
      <c r="R20">
        <v>7</v>
      </c>
      <c r="S20">
        <v>7</v>
      </c>
      <c r="T20">
        <v>125.801436793267</v>
      </c>
      <c r="U20">
        <v>174.65712995316929</v>
      </c>
      <c r="V20">
        <v>45.154424242424241</v>
      </c>
      <c r="W20">
        <v>0.53363636363636413</v>
      </c>
      <c r="X20">
        <v>1.6439327354968981E-2</v>
      </c>
      <c r="Y20">
        <v>4.1635365957665142E-2</v>
      </c>
      <c r="Z20" s="1">
        <v>0.6758912037037037</v>
      </c>
      <c r="AA20" s="1">
        <v>0.67708333333333337</v>
      </c>
      <c r="AB20">
        <v>146.3863225461017</v>
      </c>
      <c r="AC20">
        <v>157.45241820943761</v>
      </c>
      <c r="AD20">
        <v>51.646895522388057</v>
      </c>
      <c r="AE20">
        <v>0.53922388059701509</v>
      </c>
      <c r="AF20">
        <v>4.1103331325333579E-2</v>
      </c>
      <c r="AG20">
        <v>8.201453910134919E-2</v>
      </c>
      <c r="AH20" s="1">
        <v>0.67722222222222217</v>
      </c>
      <c r="AI20" s="1">
        <v>0.67812499999999998</v>
      </c>
      <c r="AJ20">
        <v>6</v>
      </c>
      <c r="AK20">
        <v>6</v>
      </c>
      <c r="AL20">
        <v>0</v>
      </c>
      <c r="AN20">
        <v>38.978631578947372</v>
      </c>
      <c r="AO20">
        <v>0.51407017543859701</v>
      </c>
      <c r="AP20">
        <v>1.5569286638699231E-2</v>
      </c>
      <c r="AQ20">
        <v>4.3364360800935392E-2</v>
      </c>
      <c r="AR20" s="1">
        <v>0.67847222222222225</v>
      </c>
      <c r="AS20" s="1">
        <v>0.67986111111111114</v>
      </c>
      <c r="AT20">
        <v>355.91357966573412</v>
      </c>
      <c r="AU20">
        <v>433.27127760792058</v>
      </c>
      <c r="AV20">
        <v>58.658541176470592</v>
      </c>
      <c r="AW20">
        <v>0.49731764705882342</v>
      </c>
      <c r="AX20">
        <v>1.788889824889239E-2</v>
      </c>
      <c r="AY20">
        <v>4.0565790828517412E-2</v>
      </c>
      <c r="AZ20" s="7">
        <v>0.67986111111111114</v>
      </c>
      <c r="BA20" s="7">
        <v>0.68055555555555558</v>
      </c>
      <c r="BB20" t="s">
        <v>105</v>
      </c>
      <c r="BC20" t="s">
        <v>105</v>
      </c>
      <c r="BD20" t="s">
        <v>720</v>
      </c>
      <c r="BE20" t="s">
        <v>101</v>
      </c>
      <c r="BF20" t="s">
        <v>721</v>
      </c>
      <c r="BG20" t="s">
        <v>105</v>
      </c>
      <c r="BH20" t="s">
        <v>105</v>
      </c>
      <c r="BI20" t="s">
        <v>105</v>
      </c>
      <c r="BJ20" t="s">
        <v>105</v>
      </c>
      <c r="BK20" t="s">
        <v>105</v>
      </c>
      <c r="BL20" t="s">
        <v>105</v>
      </c>
      <c r="BM20" t="s">
        <v>105</v>
      </c>
      <c r="BN20" t="s">
        <v>105</v>
      </c>
      <c r="BO20" t="s">
        <v>105</v>
      </c>
      <c r="BP20" t="s">
        <v>105</v>
      </c>
      <c r="BQ20" t="s">
        <v>105</v>
      </c>
      <c r="BR20" t="s">
        <v>105</v>
      </c>
      <c r="BS20" t="s">
        <v>105</v>
      </c>
      <c r="BT20" t="s">
        <v>105</v>
      </c>
      <c r="BU20" t="s">
        <v>192</v>
      </c>
      <c r="BV20" t="s">
        <v>105</v>
      </c>
      <c r="BW20" t="s">
        <v>123</v>
      </c>
      <c r="BX20" t="s">
        <v>123</v>
      </c>
      <c r="BY20" t="s">
        <v>123</v>
      </c>
      <c r="BZ20" t="s">
        <v>123</v>
      </c>
      <c r="CA20" t="s">
        <v>111</v>
      </c>
      <c r="CB20" t="s">
        <v>123</v>
      </c>
      <c r="CC20" t="s">
        <v>123</v>
      </c>
      <c r="CD20" t="s">
        <v>112</v>
      </c>
      <c r="CE20" t="s">
        <v>111</v>
      </c>
      <c r="CF20" t="s">
        <v>123</v>
      </c>
      <c r="CG20" t="s">
        <v>123</v>
      </c>
      <c r="CH20" t="s">
        <v>123</v>
      </c>
      <c r="CI20" t="s">
        <v>112</v>
      </c>
      <c r="CJ20" t="s">
        <v>123</v>
      </c>
      <c r="CK20" t="s">
        <v>123</v>
      </c>
      <c r="CL20" t="s">
        <v>124</v>
      </c>
      <c r="CM20" t="s">
        <v>116</v>
      </c>
      <c r="CN20" t="s">
        <v>116</v>
      </c>
      <c r="CO20">
        <v>0</v>
      </c>
      <c r="CQ20">
        <v>28.949209302325581</v>
      </c>
      <c r="CR20">
        <v>0.53488372093023284</v>
      </c>
      <c r="CS20">
        <v>2.1078425202595199E-2</v>
      </c>
      <c r="CT20">
        <v>5.4688307082360672E-2</v>
      </c>
      <c r="CU20" t="s">
        <v>722</v>
      </c>
    </row>
    <row r="21" spans="1:99">
      <c r="A21">
        <v>20</v>
      </c>
      <c r="B21" t="s">
        <v>99</v>
      </c>
      <c r="C21" t="s">
        <v>95</v>
      </c>
      <c r="D21">
        <v>23</v>
      </c>
      <c r="E21" t="s">
        <v>119</v>
      </c>
      <c r="F21" t="s">
        <v>280</v>
      </c>
      <c r="H21" s="1">
        <v>0.58263888888888893</v>
      </c>
      <c r="I21" s="1">
        <f t="shared" si="0"/>
        <v>0.58402777777777781</v>
      </c>
      <c r="J21">
        <v>93.969891581734544</v>
      </c>
      <c r="K21">
        <v>103.8701111966293</v>
      </c>
      <c r="L21">
        <v>58.571924050632909</v>
      </c>
      <c r="M21">
        <v>0.50734177215189857</v>
      </c>
      <c r="N21">
        <v>1.6575338172427539E-2</v>
      </c>
      <c r="O21">
        <v>5.1030468776029493E-2</v>
      </c>
      <c r="P21" s="1">
        <v>0.58424768518518522</v>
      </c>
      <c r="Q21" s="1">
        <v>0.58537037037037032</v>
      </c>
      <c r="R21">
        <v>7</v>
      </c>
      <c r="S21">
        <v>7</v>
      </c>
      <c r="T21">
        <v>34.473707281620172</v>
      </c>
      <c r="U21">
        <v>25.440613322040189</v>
      </c>
      <c r="V21">
        <v>49.408260869565218</v>
      </c>
      <c r="W21">
        <v>0.46646376811594231</v>
      </c>
      <c r="X21">
        <v>2.1755914562576039E-2</v>
      </c>
      <c r="Y21">
        <v>6.0186340011384107E-2</v>
      </c>
      <c r="Z21" s="1">
        <v>0.5854166666666667</v>
      </c>
      <c r="AA21" s="1">
        <v>0.58680555555555558</v>
      </c>
      <c r="AB21">
        <v>99.563204286255612</v>
      </c>
      <c r="AC21">
        <v>127.0116252205917</v>
      </c>
      <c r="AD21">
        <v>57.524650602409643</v>
      </c>
      <c r="AE21">
        <v>0.56185542168674651</v>
      </c>
      <c r="AF21">
        <v>2.400862885044994E-2</v>
      </c>
      <c r="AG21">
        <v>5.4789888324845423E-2</v>
      </c>
      <c r="AH21" s="1">
        <v>0.58710648148148148</v>
      </c>
      <c r="AI21" s="1">
        <v>0.58833333333333337</v>
      </c>
      <c r="AJ21">
        <v>7</v>
      </c>
      <c r="AK21">
        <v>7</v>
      </c>
      <c r="AL21">
        <v>50.494048818525748</v>
      </c>
      <c r="AM21">
        <v>54.816291432853887</v>
      </c>
      <c r="AN21">
        <v>54.152394736842112</v>
      </c>
      <c r="AO21">
        <v>0.53568421052631532</v>
      </c>
      <c r="AP21">
        <v>2.7061244057033529E-2</v>
      </c>
      <c r="AQ21">
        <v>7.4946823999269274E-2</v>
      </c>
      <c r="AR21" s="1">
        <v>0.58834490740740741</v>
      </c>
      <c r="AS21" s="1">
        <v>0.58972222222222226</v>
      </c>
      <c r="AT21">
        <v>48.988955696276577</v>
      </c>
      <c r="AU21">
        <v>46.771138471704973</v>
      </c>
      <c r="AV21">
        <v>52.741121212121207</v>
      </c>
      <c r="AW21">
        <v>0.63533333333333208</v>
      </c>
      <c r="AX21">
        <v>3.2503716608490142E-2</v>
      </c>
      <c r="AY21">
        <v>8.4417676355626012E-2</v>
      </c>
      <c r="AZ21" s="7">
        <v>0.58958333333333335</v>
      </c>
      <c r="BA21" s="7">
        <v>0.59097222222222223</v>
      </c>
      <c r="BB21" t="s">
        <v>133</v>
      </c>
      <c r="BC21" t="s">
        <v>151</v>
      </c>
      <c r="BD21" t="s">
        <v>133</v>
      </c>
      <c r="BE21" t="s">
        <v>133</v>
      </c>
      <c r="BF21" t="s">
        <v>133</v>
      </c>
      <c r="BG21" t="s">
        <v>133</v>
      </c>
      <c r="BH21" t="s">
        <v>133</v>
      </c>
      <c r="BI21" t="s">
        <v>133</v>
      </c>
      <c r="BJ21" t="s">
        <v>133</v>
      </c>
      <c r="BK21" t="s">
        <v>133</v>
      </c>
      <c r="BL21" t="s">
        <v>133</v>
      </c>
      <c r="BM21" t="s">
        <v>133</v>
      </c>
      <c r="BN21" t="s">
        <v>133</v>
      </c>
      <c r="BO21" t="s">
        <v>133</v>
      </c>
      <c r="BP21" t="s">
        <v>133</v>
      </c>
      <c r="BQ21" t="s">
        <v>133</v>
      </c>
      <c r="BR21" t="s">
        <v>151</v>
      </c>
      <c r="BS21" t="s">
        <v>133</v>
      </c>
      <c r="BT21" t="s">
        <v>133</v>
      </c>
      <c r="BU21" t="s">
        <v>587</v>
      </c>
      <c r="BV21" t="s">
        <v>723</v>
      </c>
      <c r="BW21" t="s">
        <v>111</v>
      </c>
      <c r="BX21" t="s">
        <v>112</v>
      </c>
      <c r="BY21" t="s">
        <v>123</v>
      </c>
      <c r="BZ21" t="s">
        <v>112</v>
      </c>
      <c r="CA21" t="s">
        <v>111</v>
      </c>
      <c r="CB21" t="s">
        <v>112</v>
      </c>
      <c r="CC21" t="s">
        <v>111</v>
      </c>
      <c r="CD21" t="s">
        <v>112</v>
      </c>
      <c r="CE21" t="s">
        <v>113</v>
      </c>
      <c r="CF21" t="s">
        <v>112</v>
      </c>
      <c r="CG21" t="s">
        <v>111</v>
      </c>
      <c r="CH21" t="s">
        <v>111</v>
      </c>
      <c r="CI21" t="s">
        <v>112</v>
      </c>
      <c r="CJ21" t="s">
        <v>112</v>
      </c>
      <c r="CK21" t="s">
        <v>111</v>
      </c>
      <c r="CL21" t="s">
        <v>155</v>
      </c>
      <c r="CM21" t="s">
        <v>117</v>
      </c>
      <c r="CN21" t="s">
        <v>117</v>
      </c>
      <c r="CO21">
        <v>25.117533896288499</v>
      </c>
      <c r="CP21">
        <v>28.1404523323862</v>
      </c>
      <c r="CQ21">
        <v>57.651707317073168</v>
      </c>
      <c r="CR21">
        <v>0.56160975609756059</v>
      </c>
      <c r="CS21">
        <v>2.522076971730635E-2</v>
      </c>
      <c r="CT21">
        <v>7.0103264113686781E-2</v>
      </c>
      <c r="CU21" t="s">
        <v>724</v>
      </c>
    </row>
    <row r="22" spans="1:99">
      <c r="A22">
        <v>21</v>
      </c>
      <c r="B22" t="s">
        <v>99</v>
      </c>
      <c r="C22" t="s">
        <v>95</v>
      </c>
      <c r="D22">
        <v>23</v>
      </c>
      <c r="E22" t="s">
        <v>138</v>
      </c>
      <c r="F22" t="s">
        <v>283</v>
      </c>
      <c r="H22" s="1">
        <v>0.46180555555555558</v>
      </c>
      <c r="I22" s="1">
        <f t="shared" si="0"/>
        <v>0.46319444444444446</v>
      </c>
      <c r="J22">
        <v>44.175257649196453</v>
      </c>
      <c r="K22">
        <v>45.685999237356469</v>
      </c>
      <c r="L22">
        <v>59.458069767441863</v>
      </c>
      <c r="M22">
        <v>0.5299069767441863</v>
      </c>
      <c r="N22">
        <v>1.254029485855254E-2</v>
      </c>
      <c r="O22">
        <v>2.868228137261418E-2</v>
      </c>
      <c r="P22" s="1">
        <v>0.46392361111111108</v>
      </c>
      <c r="Q22" s="1">
        <v>0.46511574074074069</v>
      </c>
      <c r="R22">
        <v>8</v>
      </c>
      <c r="S22">
        <v>8</v>
      </c>
      <c r="T22">
        <v>59.156294469830073</v>
      </c>
      <c r="U22">
        <v>49.996090072690031</v>
      </c>
      <c r="V22">
        <v>51.05744</v>
      </c>
      <c r="W22">
        <v>0.49658666666666612</v>
      </c>
      <c r="X22">
        <v>1.430365488179604E-2</v>
      </c>
      <c r="Y22">
        <v>3.4247969850896592E-2</v>
      </c>
      <c r="Z22" s="1">
        <v>0.46527777777777779</v>
      </c>
      <c r="AA22" s="1">
        <v>0.46666666666666667</v>
      </c>
      <c r="AB22">
        <v>45.193502552424178</v>
      </c>
      <c r="AC22">
        <v>25.25094182190249</v>
      </c>
      <c r="AD22">
        <v>59.852781609195397</v>
      </c>
      <c r="AE22">
        <v>0.52882758620689707</v>
      </c>
      <c r="AF22">
        <v>1.3444418125552891E-2</v>
      </c>
      <c r="AG22">
        <v>3.0913565584320141E-2</v>
      </c>
      <c r="AH22" s="1">
        <v>0.46689814814814817</v>
      </c>
      <c r="AI22" s="1">
        <v>0.46802083333333327</v>
      </c>
      <c r="AJ22">
        <v>7</v>
      </c>
      <c r="AK22">
        <v>7</v>
      </c>
      <c r="AL22">
        <v>60.248754357038663</v>
      </c>
      <c r="AM22">
        <v>50.874556238269648</v>
      </c>
      <c r="AN22">
        <v>48.417561643835619</v>
      </c>
      <c r="AO22">
        <v>0.47342465753424612</v>
      </c>
      <c r="AP22">
        <v>1.432117269865942E-2</v>
      </c>
      <c r="AQ22">
        <v>3.3619819400578371E-2</v>
      </c>
      <c r="AR22" s="1">
        <v>0.46805555555555561</v>
      </c>
      <c r="AS22" s="1">
        <v>0.46944444444444439</v>
      </c>
      <c r="AT22">
        <v>58.196444401074316</v>
      </c>
      <c r="AU22">
        <v>27.403605159860842</v>
      </c>
      <c r="AV22">
        <v>61.130157303370787</v>
      </c>
      <c r="AW22">
        <v>0.52382022471910139</v>
      </c>
      <c r="AX22">
        <v>1.3095055176504529E-2</v>
      </c>
      <c r="AY22">
        <v>2.9820522516458059E-2</v>
      </c>
      <c r="AZ22" s="7">
        <v>0.46944444444444439</v>
      </c>
      <c r="BA22" s="7">
        <v>0.47291666666666671</v>
      </c>
      <c r="BB22" t="s">
        <v>439</v>
      </c>
      <c r="BC22" t="s">
        <v>725</v>
      </c>
      <c r="BD22" t="s">
        <v>198</v>
      </c>
      <c r="BE22" t="s">
        <v>161</v>
      </c>
      <c r="BF22" t="s">
        <v>159</v>
      </c>
      <c r="BG22" t="s">
        <v>161</v>
      </c>
      <c r="BH22" t="s">
        <v>159</v>
      </c>
      <c r="BI22" t="s">
        <v>161</v>
      </c>
      <c r="BJ22" t="s">
        <v>159</v>
      </c>
      <c r="BK22" t="s">
        <v>161</v>
      </c>
      <c r="BL22" t="s">
        <v>159</v>
      </c>
      <c r="BM22" t="s">
        <v>162</v>
      </c>
      <c r="BN22" t="s">
        <v>726</v>
      </c>
      <c r="BO22" t="s">
        <v>161</v>
      </c>
      <c r="BP22" t="s">
        <v>159</v>
      </c>
      <c r="BQ22" t="s">
        <v>161</v>
      </c>
      <c r="BR22" t="s">
        <v>159</v>
      </c>
      <c r="BS22" t="s">
        <v>162</v>
      </c>
      <c r="BT22" t="s">
        <v>102</v>
      </c>
      <c r="BU22" t="s">
        <v>727</v>
      </c>
      <c r="BV22" t="s">
        <v>102</v>
      </c>
      <c r="BW22" t="s">
        <v>170</v>
      </c>
      <c r="BX22" t="s">
        <v>171</v>
      </c>
      <c r="BY22" t="s">
        <v>170</v>
      </c>
      <c r="BZ22" t="s">
        <v>170</v>
      </c>
      <c r="CA22" t="s">
        <v>170</v>
      </c>
      <c r="CB22" t="s">
        <v>173</v>
      </c>
      <c r="CC22" t="s">
        <v>171</v>
      </c>
      <c r="CD22" t="s">
        <v>171</v>
      </c>
      <c r="CE22" t="s">
        <v>170</v>
      </c>
      <c r="CF22" t="s">
        <v>171</v>
      </c>
      <c r="CH22" t="s">
        <v>170</v>
      </c>
      <c r="CI22" t="s">
        <v>173</v>
      </c>
      <c r="CJ22" t="s">
        <v>169</v>
      </c>
      <c r="CK22" t="s">
        <v>172</v>
      </c>
      <c r="CL22" t="s">
        <v>174</v>
      </c>
      <c r="CM22" t="s">
        <v>175</v>
      </c>
      <c r="CN22" t="s">
        <v>175</v>
      </c>
      <c r="CO22">
        <v>53.758050030908187</v>
      </c>
      <c r="CP22">
        <v>45.399436211147723</v>
      </c>
      <c r="CQ22">
        <v>149.29139726027401</v>
      </c>
      <c r="CR22">
        <v>0.49648401826483918</v>
      </c>
      <c r="CS22">
        <v>1.3058012108674889E-2</v>
      </c>
      <c r="CT22">
        <v>2.4596344680483131E-2</v>
      </c>
      <c r="CU22" t="s">
        <v>728</v>
      </c>
    </row>
    <row r="23" spans="1:99">
      <c r="A23">
        <v>22</v>
      </c>
      <c r="B23" t="s">
        <v>99</v>
      </c>
      <c r="C23" t="s">
        <v>125</v>
      </c>
      <c r="D23">
        <v>25</v>
      </c>
      <c r="E23" t="s">
        <v>189</v>
      </c>
      <c r="F23" t="s">
        <v>287</v>
      </c>
      <c r="H23" s="1">
        <v>0.68402777777777779</v>
      </c>
      <c r="I23" s="1">
        <f t="shared" si="0"/>
        <v>0.68541666666666667</v>
      </c>
      <c r="J23">
        <v>79.118708269196162</v>
      </c>
      <c r="K23">
        <v>98.79517440890892</v>
      </c>
      <c r="L23">
        <v>60.020296296296301</v>
      </c>
      <c r="M23">
        <v>0.56572839506172856</v>
      </c>
      <c r="N23">
        <v>2.009302227312227E-2</v>
      </c>
      <c r="O23">
        <v>3.3418620291839042E-2</v>
      </c>
      <c r="P23" s="1">
        <v>0.68572916666666661</v>
      </c>
      <c r="Q23" s="1">
        <v>0.68696759259259255</v>
      </c>
      <c r="R23">
        <v>8</v>
      </c>
      <c r="S23">
        <v>8</v>
      </c>
      <c r="T23">
        <v>64.374617449213503</v>
      </c>
      <c r="U23">
        <v>62.387608869534091</v>
      </c>
      <c r="V23">
        <v>52.305025641025637</v>
      </c>
      <c r="W23">
        <v>0.52202564102564075</v>
      </c>
      <c r="X23">
        <v>1.356115374755003E-2</v>
      </c>
      <c r="Y23">
        <v>2.5411150673039649E-2</v>
      </c>
      <c r="Z23" s="1">
        <v>0.6869791666666667</v>
      </c>
      <c r="AA23" s="1">
        <v>0.68819444444444444</v>
      </c>
      <c r="AB23">
        <v>59.249797143437199</v>
      </c>
      <c r="AC23">
        <v>41.098551179949382</v>
      </c>
      <c r="AD23">
        <v>58.760046511627912</v>
      </c>
      <c r="AE23">
        <v>0.48776744186046561</v>
      </c>
      <c r="AF23">
        <v>1.1860827537197201E-2</v>
      </c>
      <c r="AG23">
        <v>2.2220574357544889E-2</v>
      </c>
      <c r="AH23" s="1">
        <v>0.68836805555555558</v>
      </c>
      <c r="AI23" s="1">
        <v>0.68958333333333333</v>
      </c>
      <c r="AJ23">
        <v>7</v>
      </c>
      <c r="AK23">
        <v>6</v>
      </c>
      <c r="AL23">
        <v>52.344417159320948</v>
      </c>
      <c r="AM23">
        <v>42.684891940825537</v>
      </c>
      <c r="AN23">
        <v>52.27542857142857</v>
      </c>
      <c r="AO23">
        <v>0.52548051948051921</v>
      </c>
      <c r="AP23">
        <v>1.421942389734168E-2</v>
      </c>
      <c r="AQ23">
        <v>2.5375953954696731E-2</v>
      </c>
      <c r="AR23" s="1">
        <v>0.68959490740740736</v>
      </c>
      <c r="AS23" s="1">
        <v>0.69097222222222221</v>
      </c>
      <c r="AT23">
        <v>0</v>
      </c>
      <c r="AV23">
        <v>59.448835164835167</v>
      </c>
      <c r="AW23">
        <v>0.49837362637362548</v>
      </c>
      <c r="AX23">
        <v>1.5480156064470381E-2</v>
      </c>
      <c r="AY23">
        <v>2.642619492886842E-2</v>
      </c>
      <c r="AZ23" s="7">
        <v>0.69097222222222221</v>
      </c>
      <c r="BA23" s="7">
        <v>0.69513888888888886</v>
      </c>
      <c r="BB23" t="s">
        <v>288</v>
      </c>
      <c r="BC23" t="s">
        <v>729</v>
      </c>
      <c r="BD23" t="s">
        <v>730</v>
      </c>
      <c r="BE23" t="s">
        <v>178</v>
      </c>
      <c r="BF23" t="s">
        <v>159</v>
      </c>
      <c r="BG23" t="s">
        <v>291</v>
      </c>
      <c r="BH23" t="s">
        <v>159</v>
      </c>
      <c r="BI23" t="s">
        <v>179</v>
      </c>
      <c r="BJ23" t="s">
        <v>731</v>
      </c>
      <c r="BK23" t="s">
        <v>178</v>
      </c>
      <c r="BL23" t="s">
        <v>159</v>
      </c>
      <c r="BM23" t="s">
        <v>179</v>
      </c>
      <c r="BN23" t="s">
        <v>732</v>
      </c>
      <c r="BO23" t="s">
        <v>178</v>
      </c>
      <c r="BP23" t="s">
        <v>159</v>
      </c>
      <c r="BQ23" t="s">
        <v>178</v>
      </c>
      <c r="BR23" t="s">
        <v>159</v>
      </c>
      <c r="BS23" t="s">
        <v>178</v>
      </c>
      <c r="BT23" t="s">
        <v>159</v>
      </c>
      <c r="BU23" t="s">
        <v>216</v>
      </c>
      <c r="BV23" t="s">
        <v>178</v>
      </c>
      <c r="BW23" t="s">
        <v>171</v>
      </c>
      <c r="BX23" t="s">
        <v>170</v>
      </c>
      <c r="BY23" t="s">
        <v>170</v>
      </c>
      <c r="BZ23" t="s">
        <v>170</v>
      </c>
      <c r="CA23" t="s">
        <v>171</v>
      </c>
      <c r="CB23" t="s">
        <v>170</v>
      </c>
      <c r="CC23" t="s">
        <v>171</v>
      </c>
      <c r="CD23" t="s">
        <v>169</v>
      </c>
      <c r="CE23" t="s">
        <v>169</v>
      </c>
      <c r="CF23" t="s">
        <v>170</v>
      </c>
      <c r="CH23" t="s">
        <v>171</v>
      </c>
      <c r="CI23" t="s">
        <v>170</v>
      </c>
      <c r="CJ23" t="s">
        <v>170</v>
      </c>
      <c r="CK23" t="s">
        <v>171</v>
      </c>
      <c r="CL23" t="s">
        <v>208</v>
      </c>
      <c r="CM23" t="s">
        <v>175</v>
      </c>
      <c r="CN23" t="s">
        <v>194</v>
      </c>
      <c r="CO23">
        <v>383.19577241927749</v>
      </c>
      <c r="CP23">
        <v>419.735631082243</v>
      </c>
      <c r="CQ23">
        <v>182.15229249011861</v>
      </c>
      <c r="CR23">
        <v>0.52211857707509857</v>
      </c>
      <c r="CS23">
        <v>1.3941076039947349E-2</v>
      </c>
      <c r="CT23">
        <v>2.3020762080448429E-2</v>
      </c>
      <c r="CU23" t="s">
        <v>733</v>
      </c>
    </row>
    <row r="24" spans="1:99">
      <c r="A24">
        <v>23</v>
      </c>
      <c r="B24" t="s">
        <v>99</v>
      </c>
      <c r="C24" t="s">
        <v>95</v>
      </c>
      <c r="D24">
        <v>25</v>
      </c>
      <c r="E24" t="s">
        <v>138</v>
      </c>
      <c r="F24" t="s">
        <v>299</v>
      </c>
      <c r="H24" s="1">
        <v>0.61944444444444446</v>
      </c>
      <c r="I24" s="1">
        <f t="shared" si="0"/>
        <v>0.62083333333333335</v>
      </c>
      <c r="J24">
        <v>58.510221401927637</v>
      </c>
      <c r="K24">
        <v>51.262677153709689</v>
      </c>
      <c r="L24">
        <v>60.83776470588235</v>
      </c>
      <c r="M24">
        <v>0.4980705882352951</v>
      </c>
      <c r="N24">
        <v>1.658725681014105E-2</v>
      </c>
      <c r="O24">
        <v>4.5834803708662282E-2</v>
      </c>
      <c r="P24" s="1">
        <v>0.62099537037037034</v>
      </c>
      <c r="Q24" s="1">
        <v>0.6222685185185185</v>
      </c>
      <c r="R24">
        <v>8</v>
      </c>
      <c r="S24">
        <v>7</v>
      </c>
      <c r="T24">
        <v>50.182216421370299</v>
      </c>
      <c r="U24">
        <v>28.731515797117542</v>
      </c>
      <c r="V24">
        <v>54.311194805194809</v>
      </c>
      <c r="W24">
        <v>0.48244155844155739</v>
      </c>
      <c r="X24">
        <v>1.6422767114917369E-2</v>
      </c>
      <c r="Y24">
        <v>4.5706562988446907E-2</v>
      </c>
      <c r="Z24" s="1">
        <v>0.62228009259259254</v>
      </c>
      <c r="AA24" s="1">
        <v>0.62361111111111112</v>
      </c>
      <c r="AB24">
        <v>41.926624239874918</v>
      </c>
      <c r="AC24">
        <v>25.573974446965639</v>
      </c>
      <c r="AD24">
        <v>59.294911111111112</v>
      </c>
      <c r="AE24">
        <v>0.49511111111111139</v>
      </c>
      <c r="AF24">
        <v>1.630485384818264E-2</v>
      </c>
      <c r="AG24">
        <v>4.3876391886748453E-2</v>
      </c>
      <c r="AH24" s="1">
        <v>0.62372685185185184</v>
      </c>
      <c r="AI24" s="1">
        <v>0.62497685185185181</v>
      </c>
      <c r="AJ24">
        <v>7</v>
      </c>
      <c r="AK24">
        <v>7</v>
      </c>
      <c r="AL24">
        <v>36.638998321123211</v>
      </c>
      <c r="AM24">
        <v>22.417396872511901</v>
      </c>
      <c r="AN24">
        <v>53.215974683544303</v>
      </c>
      <c r="AO24">
        <v>0.49389873417721503</v>
      </c>
      <c r="AP24">
        <v>1.6577220812098649E-2</v>
      </c>
      <c r="AQ24">
        <v>4.5574061277751342E-2</v>
      </c>
      <c r="AR24" s="1">
        <v>0.625</v>
      </c>
      <c r="AS24" s="1">
        <v>0.62638888888888888</v>
      </c>
      <c r="AT24">
        <v>84.114442083833282</v>
      </c>
      <c r="AU24">
        <v>113.76403491041521</v>
      </c>
      <c r="AV24">
        <v>60.200476190476188</v>
      </c>
      <c r="AW24">
        <v>0.54902380952380936</v>
      </c>
      <c r="AX24">
        <v>1.8628148497754789E-2</v>
      </c>
      <c r="AY24">
        <v>5.0252956343854779E-2</v>
      </c>
      <c r="AZ24" s="7">
        <v>0.62638888888888888</v>
      </c>
      <c r="BA24" s="7">
        <v>0.62777777777777777</v>
      </c>
      <c r="BB24" t="s">
        <v>105</v>
      </c>
      <c r="BC24" t="s">
        <v>105</v>
      </c>
      <c r="BD24" t="s">
        <v>105</v>
      </c>
      <c r="BE24" t="s">
        <v>105</v>
      </c>
      <c r="BF24" t="s">
        <v>105</v>
      </c>
      <c r="BG24" t="s">
        <v>105</v>
      </c>
      <c r="BH24" t="s">
        <v>105</v>
      </c>
      <c r="BI24" t="s">
        <v>101</v>
      </c>
      <c r="BJ24" t="s">
        <v>734</v>
      </c>
      <c r="BK24" t="s">
        <v>105</v>
      </c>
      <c r="BL24" t="s">
        <v>105</v>
      </c>
      <c r="BM24" t="s">
        <v>105</v>
      </c>
      <c r="BN24" t="s">
        <v>105</v>
      </c>
      <c r="BO24" t="s">
        <v>101</v>
      </c>
      <c r="BP24" t="s">
        <v>735</v>
      </c>
      <c r="BQ24" t="s">
        <v>105</v>
      </c>
      <c r="BR24" t="s">
        <v>105</v>
      </c>
      <c r="BS24" t="s">
        <v>105</v>
      </c>
      <c r="BT24" t="s">
        <v>105</v>
      </c>
      <c r="BU24" t="s">
        <v>279</v>
      </c>
      <c r="BV24" t="s">
        <v>105</v>
      </c>
      <c r="BW24" t="s">
        <v>113</v>
      </c>
      <c r="BX24" t="s">
        <v>111</v>
      </c>
      <c r="BY24" t="s">
        <v>113</v>
      </c>
      <c r="BZ24" t="s">
        <v>113</v>
      </c>
      <c r="CA24" t="s">
        <v>113</v>
      </c>
      <c r="CB24" t="s">
        <v>112</v>
      </c>
      <c r="CC24" t="s">
        <v>113</v>
      </c>
      <c r="CD24" t="s">
        <v>112</v>
      </c>
      <c r="CE24" t="s">
        <v>113</v>
      </c>
      <c r="CF24" t="s">
        <v>112</v>
      </c>
      <c r="CG24" t="s">
        <v>113</v>
      </c>
      <c r="CH24" t="s">
        <v>113</v>
      </c>
      <c r="CI24" t="s">
        <v>112</v>
      </c>
      <c r="CJ24" t="s">
        <v>123</v>
      </c>
      <c r="CK24" t="s">
        <v>113</v>
      </c>
      <c r="CL24" t="s">
        <v>115</v>
      </c>
      <c r="CM24" t="s">
        <v>116</v>
      </c>
      <c r="CN24" t="s">
        <v>116</v>
      </c>
      <c r="CO24">
        <v>45.723968153307979</v>
      </c>
      <c r="CP24">
        <v>29.276295005949539</v>
      </c>
      <c r="CQ24">
        <v>56.616047058823533</v>
      </c>
      <c r="CR24">
        <v>0.57809411764705865</v>
      </c>
      <c r="CS24">
        <v>1.9902987088362349E-2</v>
      </c>
      <c r="CT24">
        <v>5.0889546484395823E-2</v>
      </c>
      <c r="CU24" t="s">
        <v>159</v>
      </c>
    </row>
    <row r="25" spans="1:99">
      <c r="A25">
        <v>24</v>
      </c>
      <c r="B25" t="s">
        <v>99</v>
      </c>
      <c r="C25" t="s">
        <v>95</v>
      </c>
      <c r="D25">
        <v>27</v>
      </c>
      <c r="E25" t="s">
        <v>138</v>
      </c>
      <c r="F25" t="s">
        <v>304</v>
      </c>
      <c r="H25" s="1">
        <v>0.7680555555555556</v>
      </c>
      <c r="I25" s="1">
        <f t="shared" si="0"/>
        <v>0.76944444444444449</v>
      </c>
      <c r="J25">
        <v>233.55860114341209</v>
      </c>
      <c r="K25">
        <v>342.77571862270457</v>
      </c>
      <c r="L25">
        <v>59.506781609195407</v>
      </c>
      <c r="M25">
        <v>0.47804597701149371</v>
      </c>
      <c r="N25">
        <v>1.2941336598234319E-2</v>
      </c>
      <c r="O25">
        <v>2.4515748096252399E-2</v>
      </c>
      <c r="P25" s="1">
        <v>0.7732175925925926</v>
      </c>
      <c r="Q25" s="1">
        <v>0.77375000000000005</v>
      </c>
      <c r="R25">
        <v>4</v>
      </c>
      <c r="S25">
        <v>3</v>
      </c>
      <c r="T25">
        <v>417.00818004233741</v>
      </c>
      <c r="U25">
        <v>616.44644716489574</v>
      </c>
      <c r="V25">
        <v>22.90062857142857</v>
      </c>
      <c r="W25">
        <v>0.45274285714285672</v>
      </c>
      <c r="X25">
        <v>1.3819861290682149E-2</v>
      </c>
      <c r="Y25">
        <v>3.076386420300296E-2</v>
      </c>
      <c r="Z25" s="1">
        <v>0.77376157407407409</v>
      </c>
      <c r="AA25" s="1">
        <v>0.77513888888888893</v>
      </c>
      <c r="AB25">
        <v>288.78675312222663</v>
      </c>
      <c r="AC25">
        <v>328.75089127613279</v>
      </c>
      <c r="AD25">
        <v>52.176923076923082</v>
      </c>
      <c r="AE25">
        <v>0.49738461538461631</v>
      </c>
      <c r="AF25">
        <v>1.383644088617334E-2</v>
      </c>
      <c r="AG25">
        <v>2.6470449812905809E-2</v>
      </c>
      <c r="AH25" s="1">
        <v>0.7751851851851852</v>
      </c>
      <c r="AI25" s="1">
        <v>0.77625</v>
      </c>
      <c r="AJ25">
        <v>6</v>
      </c>
      <c r="AK25">
        <v>6</v>
      </c>
      <c r="AL25">
        <v>450.77760323761191</v>
      </c>
      <c r="AM25">
        <v>599.0781089684067</v>
      </c>
      <c r="AN25">
        <v>45.751323529411764</v>
      </c>
      <c r="AO25">
        <v>0.45750000000000068</v>
      </c>
      <c r="AP25">
        <v>1.562051428400487E-2</v>
      </c>
      <c r="AQ25">
        <v>2.9219296595000641E-2</v>
      </c>
      <c r="AR25" s="1">
        <v>0.77638888888888891</v>
      </c>
      <c r="AS25" s="1">
        <v>0.77777777777777779</v>
      </c>
      <c r="AT25">
        <v>433.309578103452</v>
      </c>
      <c r="AU25">
        <v>578.28965115668734</v>
      </c>
      <c r="AV25">
        <v>59.070452380952368</v>
      </c>
      <c r="AW25">
        <v>0.47564285714285709</v>
      </c>
      <c r="AX25">
        <v>1.352356851195527E-2</v>
      </c>
      <c r="AY25">
        <v>2.542898722806455E-2</v>
      </c>
      <c r="AZ25" s="7">
        <v>0.77777777777777779</v>
      </c>
      <c r="BA25" s="7">
        <v>0.78125</v>
      </c>
      <c r="BB25" t="s">
        <v>178</v>
      </c>
      <c r="BC25" t="s">
        <v>178</v>
      </c>
      <c r="BD25" t="s">
        <v>306</v>
      </c>
      <c r="BE25" t="s">
        <v>179</v>
      </c>
      <c r="BF25" t="s">
        <v>736</v>
      </c>
      <c r="BG25" t="s">
        <v>178</v>
      </c>
      <c r="BH25" t="s">
        <v>159</v>
      </c>
      <c r="BI25" t="s">
        <v>179</v>
      </c>
      <c r="BJ25" t="s">
        <v>737</v>
      </c>
      <c r="BK25" t="s">
        <v>178</v>
      </c>
      <c r="BL25" t="s">
        <v>159</v>
      </c>
      <c r="BM25" t="s">
        <v>179</v>
      </c>
      <c r="BN25" t="s">
        <v>738</v>
      </c>
      <c r="BO25" t="s">
        <v>178</v>
      </c>
      <c r="BP25" t="s">
        <v>159</v>
      </c>
      <c r="BQ25" t="s">
        <v>178</v>
      </c>
      <c r="BR25" t="s">
        <v>159</v>
      </c>
      <c r="BS25" t="s">
        <v>179</v>
      </c>
      <c r="BT25" t="s">
        <v>739</v>
      </c>
      <c r="BU25" t="s">
        <v>216</v>
      </c>
      <c r="BV25" t="s">
        <v>178</v>
      </c>
      <c r="BW25" t="s">
        <v>170</v>
      </c>
      <c r="BX25" t="s">
        <v>171</v>
      </c>
      <c r="BY25" t="s">
        <v>170</v>
      </c>
      <c r="BZ25" t="s">
        <v>169</v>
      </c>
      <c r="CA25" t="s">
        <v>170</v>
      </c>
      <c r="CB25" t="s">
        <v>171</v>
      </c>
      <c r="CC25" t="s">
        <v>169</v>
      </c>
      <c r="CD25" t="s">
        <v>169</v>
      </c>
      <c r="CE25" t="s">
        <v>170</v>
      </c>
      <c r="CF25" t="s">
        <v>171</v>
      </c>
      <c r="CH25" t="s">
        <v>170</v>
      </c>
      <c r="CI25" t="s">
        <v>171</v>
      </c>
      <c r="CJ25" t="s">
        <v>171</v>
      </c>
      <c r="CK25" t="s">
        <v>172</v>
      </c>
      <c r="CL25" t="s">
        <v>194</v>
      </c>
      <c r="CM25" t="s">
        <v>175</v>
      </c>
      <c r="CN25" t="s">
        <v>207</v>
      </c>
      <c r="CO25">
        <v>344.43544752531068</v>
      </c>
      <c r="CP25">
        <v>461.63365845157182</v>
      </c>
      <c r="CQ25">
        <v>147.83922374429221</v>
      </c>
      <c r="CR25">
        <v>0.52240182648402045</v>
      </c>
      <c r="CS25">
        <v>1.291184255341658E-2</v>
      </c>
      <c r="CT25">
        <v>2.1942431829402191E-2</v>
      </c>
      <c r="CU25" t="s">
        <v>159</v>
      </c>
    </row>
    <row r="26" spans="1:99">
      <c r="A26">
        <v>25</v>
      </c>
      <c r="B26" t="s">
        <v>310</v>
      </c>
      <c r="C26" t="s">
        <v>125</v>
      </c>
      <c r="D26">
        <v>30</v>
      </c>
      <c r="E26" t="s">
        <v>189</v>
      </c>
      <c r="F26" t="s">
        <v>311</v>
      </c>
      <c r="H26" s="1">
        <v>0.47569444444444442</v>
      </c>
      <c r="I26" s="1">
        <v>0.47664351851851849</v>
      </c>
      <c r="J26">
        <v>388.90872965260093</v>
      </c>
      <c r="K26">
        <v>549.99999999999955</v>
      </c>
      <c r="L26">
        <v>39.847929824561412</v>
      </c>
      <c r="M26">
        <v>0.52694736842105228</v>
      </c>
      <c r="N26">
        <v>1.5098754457655621E-2</v>
      </c>
      <c r="O26">
        <v>3.7291205737069087E-2</v>
      </c>
      <c r="P26" s="1">
        <v>0.47665509259259259</v>
      </c>
      <c r="Q26" s="1">
        <v>0.47789351851851852</v>
      </c>
      <c r="R26">
        <v>8</v>
      </c>
      <c r="S26">
        <v>8</v>
      </c>
      <c r="T26">
        <v>0</v>
      </c>
      <c r="V26">
        <v>52.793696202531649</v>
      </c>
      <c r="W26">
        <v>0.53296202531645609</v>
      </c>
      <c r="X26">
        <v>1.4983387132761461E-2</v>
      </c>
      <c r="Y26">
        <v>3.3240951898301917E-2</v>
      </c>
      <c r="Z26" s="1">
        <v>0.47790509259259262</v>
      </c>
      <c r="AA26" s="1">
        <v>0.47916666666666669</v>
      </c>
      <c r="AB26">
        <v>120.2140397648016</v>
      </c>
      <c r="AC26">
        <v>141.7390902220337</v>
      </c>
      <c r="AD26">
        <v>55.179454545454547</v>
      </c>
      <c r="AE26">
        <v>0.53028571428571369</v>
      </c>
      <c r="AF26">
        <v>1.459734946839014E-2</v>
      </c>
      <c r="AG26">
        <v>3.2950726820887413E-2</v>
      </c>
      <c r="AH26" s="18" t="s">
        <v>740</v>
      </c>
      <c r="AI26" s="1">
        <v>0.48091435185185177</v>
      </c>
      <c r="AJ26">
        <v>6</v>
      </c>
      <c r="AK26">
        <v>6</v>
      </c>
      <c r="AL26">
        <v>150.75643780787351</v>
      </c>
      <c r="AM26">
        <v>184.5069016269241</v>
      </c>
      <c r="AN26">
        <v>48.357070422535209</v>
      </c>
      <c r="AO26">
        <v>0.51149295774647896</v>
      </c>
      <c r="AP26">
        <v>1.487783780817991E-2</v>
      </c>
      <c r="AQ26">
        <v>3.3198847613388413E-2</v>
      </c>
      <c r="AR26" s="1">
        <v>0.48092592592592592</v>
      </c>
      <c r="AS26" s="1">
        <v>0.48194444444444451</v>
      </c>
      <c r="AT26">
        <v>289.91378028648472</v>
      </c>
      <c r="AU26">
        <v>410.00000000000028</v>
      </c>
      <c r="AV26">
        <v>42.768461538461537</v>
      </c>
      <c r="AW26">
        <v>0.48480000000000018</v>
      </c>
      <c r="AX26">
        <v>1.3994151964505951E-2</v>
      </c>
      <c r="AY26">
        <v>3.4410304059687528E-2</v>
      </c>
      <c r="AZ26" s="7">
        <v>0.48194444444444451</v>
      </c>
      <c r="BA26" s="7">
        <v>0.48472222222222222</v>
      </c>
      <c r="BB26" t="s">
        <v>588</v>
      </c>
      <c r="BC26" t="s">
        <v>589</v>
      </c>
      <c r="BD26" t="s">
        <v>590</v>
      </c>
      <c r="BE26" t="s">
        <v>319</v>
      </c>
      <c r="BF26" t="s">
        <v>159</v>
      </c>
      <c r="BG26" t="s">
        <v>319</v>
      </c>
      <c r="BH26" t="s">
        <v>159</v>
      </c>
      <c r="BI26" t="s">
        <v>179</v>
      </c>
      <c r="BJ26" t="s">
        <v>591</v>
      </c>
      <c r="BK26" t="s">
        <v>319</v>
      </c>
      <c r="BL26" t="s">
        <v>159</v>
      </c>
      <c r="BM26" t="s">
        <v>178</v>
      </c>
      <c r="BN26" t="s">
        <v>159</v>
      </c>
      <c r="BO26" t="s">
        <v>179</v>
      </c>
      <c r="BP26" t="s">
        <v>592</v>
      </c>
      <c r="BQ26" t="s">
        <v>178</v>
      </c>
      <c r="BR26" t="s">
        <v>159</v>
      </c>
      <c r="BS26" t="s">
        <v>319</v>
      </c>
      <c r="BT26" t="s">
        <v>159</v>
      </c>
      <c r="BU26" t="s">
        <v>109</v>
      </c>
      <c r="BV26" t="s">
        <v>593</v>
      </c>
      <c r="BW26" t="s">
        <v>173</v>
      </c>
      <c r="BX26" t="s">
        <v>169</v>
      </c>
      <c r="BY26" t="s">
        <v>173</v>
      </c>
      <c r="BZ26" t="s">
        <v>169</v>
      </c>
      <c r="CA26" t="s">
        <v>173</v>
      </c>
      <c r="CB26" t="s">
        <v>169</v>
      </c>
      <c r="CC26" t="s">
        <v>169</v>
      </c>
      <c r="CD26" t="s">
        <v>173</v>
      </c>
      <c r="CE26" t="s">
        <v>173</v>
      </c>
      <c r="CF26" t="s">
        <v>169</v>
      </c>
      <c r="CH26" t="s">
        <v>173</v>
      </c>
      <c r="CI26" t="s">
        <v>172</v>
      </c>
      <c r="CJ26" t="s">
        <v>172</v>
      </c>
      <c r="CK26" t="s">
        <v>173</v>
      </c>
      <c r="CL26" t="s">
        <v>175</v>
      </c>
      <c r="CM26" t="s">
        <v>175</v>
      </c>
      <c r="CN26" t="s">
        <v>174</v>
      </c>
      <c r="CO26">
        <v>147.57521166334959</v>
      </c>
      <c r="CP26">
        <v>214.89294027153841</v>
      </c>
      <c r="CQ26">
        <v>116.3812643678161</v>
      </c>
      <c r="CR26">
        <v>0.5298735632183913</v>
      </c>
      <c r="CS26">
        <v>1.401545961580548E-2</v>
      </c>
      <c r="CT26">
        <v>2.828331297382429E-2</v>
      </c>
      <c r="CU26" t="s">
        <v>159</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6"/>
  <sheetViews>
    <sheetView topLeftCell="AH1" zoomScale="110" zoomScaleNormal="110" workbookViewId="0">
      <selection activeCell="M38" sqref="M38"/>
    </sheetView>
  </sheetViews>
  <sheetFormatPr defaultRowHeight="14.25"/>
  <cols>
    <col min="1" max="1" width="13.625" customWidth="1"/>
    <col min="2" max="2" width="14.25" customWidth="1"/>
    <col min="3" max="3" width="16.75" customWidth="1"/>
    <col min="4" max="4" width="13.75" customWidth="1"/>
    <col min="5" max="5" width="20" customWidth="1"/>
    <col min="6" max="6" width="15.375" customWidth="1"/>
    <col min="7" max="7" width="24" customWidth="1"/>
    <col min="8" max="8" width="14.5" customWidth="1"/>
    <col min="9" max="9" width="23.875" customWidth="1"/>
    <col min="10" max="10" width="14.875" customWidth="1"/>
    <col min="11" max="11" width="15.125" customWidth="1"/>
    <col min="12" max="12" width="15.375" customWidth="1"/>
    <col min="13" max="13" width="16.25" customWidth="1"/>
    <col min="14" max="14" width="14.5" customWidth="1"/>
    <col min="15" max="16" width="13.25" customWidth="1"/>
    <col min="17" max="17" width="14.375" customWidth="1"/>
    <col min="18" max="18" width="16.25" customWidth="1"/>
    <col min="19" max="19" width="17.125" customWidth="1"/>
    <col min="20" max="20" width="16.75" customWidth="1"/>
    <col min="21" max="21" width="17.625" customWidth="1"/>
    <col min="22" max="22" width="15.25" customWidth="1"/>
    <col min="23" max="23" width="13.875" customWidth="1"/>
    <col min="24" max="24" width="13.75" customWidth="1"/>
    <col min="25" max="25" width="14.25" customWidth="1"/>
    <col min="26" max="26" width="12.75" customWidth="1"/>
    <col min="27" max="27" width="13.25" customWidth="1"/>
    <col min="28" max="28" width="12" customWidth="1"/>
    <col min="29" max="29" width="13.375" customWidth="1"/>
    <col min="30" max="30" width="14.75" customWidth="1"/>
    <col min="31" max="31" width="14.875" customWidth="1"/>
    <col min="32" max="32" width="14.75" customWidth="1"/>
    <col min="33" max="33" width="15.25" customWidth="1"/>
    <col min="34" max="34" width="14.5" customWidth="1"/>
    <col min="35" max="35" width="14.125" customWidth="1"/>
    <col min="36" max="36" width="14" customWidth="1"/>
    <col min="37" max="37" width="13.875" customWidth="1"/>
    <col min="38" max="39" width="13.75" customWidth="1"/>
    <col min="40" max="40" width="13.5" customWidth="1"/>
    <col min="41" max="41" width="14.625" customWidth="1"/>
    <col min="42" max="42" width="12.875" customWidth="1"/>
    <col min="43" max="43" width="13.5" customWidth="1"/>
    <col min="44" max="44" width="12.5" customWidth="1"/>
    <col min="45" max="45" width="12.75" customWidth="1"/>
  </cols>
  <sheetData>
    <row r="1" spans="1:45">
      <c r="A1" t="s">
        <v>0</v>
      </c>
      <c r="B1" t="s">
        <v>741</v>
      </c>
      <c r="C1" t="s">
        <v>757</v>
      </c>
      <c r="D1" t="s">
        <v>742</v>
      </c>
      <c r="E1" t="s">
        <v>758</v>
      </c>
      <c r="F1" t="s">
        <v>743</v>
      </c>
      <c r="G1" t="s">
        <v>759</v>
      </c>
      <c r="H1" t="s">
        <v>744</v>
      </c>
      <c r="I1" t="s">
        <v>760</v>
      </c>
      <c r="J1" t="s">
        <v>761</v>
      </c>
      <c r="K1" t="s">
        <v>762</v>
      </c>
      <c r="L1" t="s">
        <v>763</v>
      </c>
      <c r="M1" t="s">
        <v>764</v>
      </c>
      <c r="N1" t="s">
        <v>765</v>
      </c>
      <c r="O1" t="s">
        <v>766</v>
      </c>
      <c r="P1" t="s">
        <v>767</v>
      </c>
      <c r="Q1" t="s">
        <v>768</v>
      </c>
      <c r="R1" t="s">
        <v>747</v>
      </c>
      <c r="S1" t="s">
        <v>748</v>
      </c>
      <c r="T1" t="s">
        <v>749</v>
      </c>
      <c r="U1" t="s">
        <v>750</v>
      </c>
      <c r="V1" t="s">
        <v>751</v>
      </c>
      <c r="W1" t="s">
        <v>752</v>
      </c>
      <c r="X1" t="s">
        <v>753</v>
      </c>
      <c r="Y1" t="s">
        <v>754</v>
      </c>
      <c r="Z1" t="s">
        <v>781</v>
      </c>
      <c r="AA1" t="s">
        <v>782</v>
      </c>
      <c r="AB1" t="s">
        <v>783</v>
      </c>
      <c r="AC1" t="s">
        <v>784</v>
      </c>
      <c r="AD1" t="s">
        <v>769</v>
      </c>
      <c r="AE1" t="s">
        <v>770</v>
      </c>
      <c r="AF1" t="s">
        <v>771</v>
      </c>
      <c r="AG1" t="s">
        <v>772</v>
      </c>
      <c r="AH1" t="s">
        <v>773</v>
      </c>
      <c r="AI1" t="s">
        <v>774</v>
      </c>
      <c r="AJ1" t="s">
        <v>775</v>
      </c>
      <c r="AK1" t="s">
        <v>776</v>
      </c>
      <c r="AL1" t="s">
        <v>777</v>
      </c>
      <c r="AM1" t="s">
        <v>778</v>
      </c>
      <c r="AN1" t="s">
        <v>779</v>
      </c>
      <c r="AO1" t="s">
        <v>780</v>
      </c>
      <c r="AP1" t="s">
        <v>785</v>
      </c>
      <c r="AQ1" t="s">
        <v>786</v>
      </c>
      <c r="AR1" t="s">
        <v>787</v>
      </c>
      <c r="AS1" t="s">
        <v>788</v>
      </c>
    </row>
    <row r="2" spans="1:45">
      <c r="A2">
        <v>1</v>
      </c>
      <c r="B2" t="s">
        <v>156</v>
      </c>
      <c r="C2" s="20">
        <f>'[1]S1 Datalog+Results'!AP2-'[1]S1 Datalog+Results'!AF2</f>
        <v>2.6321412860470794E-5</v>
      </c>
      <c r="D2" t="s">
        <v>189</v>
      </c>
      <c r="E2" s="20">
        <f>'[2]S2 Datalog + Results'!AP2-'[2]S2 Datalog + Results'!AF2</f>
        <v>1.8656471044211902E-3</v>
      </c>
      <c r="F2" t="s">
        <v>138</v>
      </c>
      <c r="G2" s="20">
        <f>'[3]S3 Datalog + Results'!AP2-'[3]S3 Datalog + Results'!AF2</f>
        <v>4.5089617833620962E-4</v>
      </c>
      <c r="H2" t="s">
        <v>119</v>
      </c>
      <c r="I2" s="20">
        <f>'[4]S4 Datalog + Results'!AP2-'[4]S4 Datalog + Results'!AF2</f>
        <v>-2.313209612155101E-4</v>
      </c>
      <c r="J2">
        <f>'[1]S1 Datalog+Results'!AO2-'[1]S1 Datalog+Results'!AE2</f>
        <v>1.6238286479249964E-2</v>
      </c>
      <c r="K2">
        <f>'[2]S2 Datalog + Results'!AO2-'[2]S2 Datalog + Results'!AE2</f>
        <v>2.3265941816044022E-2</v>
      </c>
      <c r="L2">
        <f>'[3]S3 Datalog + Results'!AO2-'[3]S3 Datalog + Results'!AE2</f>
        <v>-3.9425010386373027E-2</v>
      </c>
      <c r="M2">
        <f>'[4]S4 Datalog + Results'!AO2-'[4]S4 Datalog + Results'!AE2</f>
        <v>-3.5515348082936993E-2</v>
      </c>
      <c r="N2">
        <f>'[1]S1 Datalog+Results'!AM2-'[1]S1 Datalog+Results'!AC2</f>
        <v>-202.37676442352688</v>
      </c>
      <c r="O2">
        <f>'[2]S2 Datalog + Results'!AM2-'[2]S2 Datalog + Results'!AC2</f>
        <v>17.079080016421599</v>
      </c>
      <c r="P2">
        <f>'[3]S3 Datalog + Results'!AM2-'[3]S3 Datalog + Results'!AC2</f>
        <v>10.688219757167499</v>
      </c>
      <c r="Q2">
        <f>'[4]S4 Datalog + Results'!AM2-'[4]S4 Datalog + Results'!AC2</f>
        <v>-23.7271833418882</v>
      </c>
      <c r="R2">
        <f>'[1]S1 Datalog+Results'!AK2</f>
        <v>4</v>
      </c>
      <c r="S2">
        <f>'[2]S2 Datalog + Results'!AK2</f>
        <v>7</v>
      </c>
      <c r="T2">
        <f>'[3]S3 Datalog + Results'!AK2</f>
        <v>7</v>
      </c>
      <c r="U2">
        <f>'[4]S4 Datalog + Results'!AK2</f>
        <v>7</v>
      </c>
      <c r="V2">
        <f>'[1]S1 Datalog+Results'!S2</f>
        <v>4</v>
      </c>
      <c r="W2">
        <f>'[2]S2 Datalog + Results'!S2</f>
        <v>6</v>
      </c>
      <c r="X2">
        <f>'[3]S3 Datalog + Results'!S2</f>
        <v>7</v>
      </c>
      <c r="Y2">
        <f>'[4]S4 Datalog + Results'!S2</f>
        <v>7</v>
      </c>
      <c r="Z2">
        <f>'[1]S1 Datalog+Results'!T2-'[1]S1 Datalog+Results'!J2</f>
        <v>-249.63133103368247</v>
      </c>
      <c r="AA2">
        <f>'[2]S2 Datalog + Results'!T2-'[2]S2 Datalog + Results'!J2</f>
        <v>113.985860540234</v>
      </c>
      <c r="AB2">
        <f>'[3]S3 Datalog + Results'!T2-'[3]S3 Datalog + Results'!J2</f>
        <v>-56.582304439265101</v>
      </c>
      <c r="AC2">
        <f>'[4]S4 Datalog + Results'!T2-'[4]S4 Datalog + Results'!J2</f>
        <v>-43.457368979148207</v>
      </c>
      <c r="AD2">
        <f>'[1]S1 Datalog+Results'!X2-'[1]S1 Datalog+Results'!N2</f>
        <v>-2.3860262909634593E-3</v>
      </c>
      <c r="AE2">
        <f>'[2]S2 Datalog + Results'!X2-'[2]S2 Datalog + Results'!N2</f>
        <v>-4.578967994616906E-4</v>
      </c>
      <c r="AF2">
        <f>'[3]S3 Datalog + Results'!X2-'[3]S3 Datalog + Results'!N2</f>
        <v>7.7080869791109046E-4</v>
      </c>
      <c r="AG2">
        <f>'[4]S4 Datalog + Results'!X2-'[4]S4 Datalog + Results'!N2</f>
        <v>-1.9551125138416699E-3</v>
      </c>
      <c r="AH2">
        <f>'[1]S1 Datalog+Results'!W2-'[1]S1 Datalog+Results'!M2</f>
        <v>1.3713464696224975E-2</v>
      </c>
      <c r="AI2">
        <f>'[2]S2 Datalog + Results'!W2-'[2]S2 Datalog + Results'!M2</f>
        <v>6.4086021505379565E-3</v>
      </c>
      <c r="AJ2">
        <f>'[3]S3 Datalog + Results'!W2-'[3]S3 Datalog + Results'!M2</f>
        <v>3.695963718820805E-2</v>
      </c>
      <c r="AK2">
        <f>'[4]S4 Datalog + Results'!W2-'[4]S4 Datalog + Results'!M2</f>
        <v>-1.8838259441707028E-2</v>
      </c>
      <c r="AL2">
        <f>'[1]S1 Datalog+Results'!U2-'[1]S1 Datalog+Results'!K2</f>
        <v>-283.44618461067699</v>
      </c>
      <c r="AM2">
        <f>'[2]S2 Datalog + Results'!U2-'[2]S2 Datalog + Results'!K2</f>
        <v>169.552461228624</v>
      </c>
      <c r="AN2">
        <f>'[3]S3 Datalog + Results'!U2-'[3]S3 Datalog + Results'!K2</f>
        <v>-72.7079191386037</v>
      </c>
      <c r="AO2">
        <f>'[4]S4 Datalog + Results'!U2-'[4]S4 Datalog + Results'!K2</f>
        <v>-75.747516202818204</v>
      </c>
      <c r="AP2">
        <f>'[1]S1 Datalog+Results'!AL2-'[1]S1 Datalog+Results'!AB2</f>
        <v>-140.67101713202791</v>
      </c>
      <c r="AQ2">
        <f>'[2]S2 Datalog + Results'!AL2-'[2]S2 Datalog + Results'!AB2</f>
        <v>12.728560384572603</v>
      </c>
      <c r="AR2">
        <f>'[3]S3 Datalog + Results'!AL2-'[3]S3 Datalog + Results'!AB2</f>
        <v>5.5837802448893967</v>
      </c>
      <c r="AS2">
        <f>'[4]S4 Datalog + Results'!AL2-'[4]S4 Datalog + Results'!AB2</f>
        <v>-12.531040205218801</v>
      </c>
    </row>
    <row r="3" spans="1:45">
      <c r="A3">
        <v>2</v>
      </c>
      <c r="B3" t="s">
        <v>138</v>
      </c>
      <c r="C3" s="20">
        <f>'[1]S1 Datalog+Results'!AP3-'[1]S1 Datalog+Results'!AF3</f>
        <v>4.8596921363741954E-4</v>
      </c>
      <c r="D3" t="s">
        <v>156</v>
      </c>
      <c r="E3" s="20">
        <f>'[2]S2 Datalog + Results'!AP3-'[2]S2 Datalog + Results'!AF3</f>
        <v>3.2049201672808107E-4</v>
      </c>
      <c r="F3" t="s">
        <v>119</v>
      </c>
      <c r="G3" s="20">
        <f>'[3]S3 Datalog + Results'!AP3-'[3]S3 Datalog + Results'!AF3</f>
        <v>1.479044586279888E-4</v>
      </c>
      <c r="H3" t="s">
        <v>189</v>
      </c>
      <c r="I3" s="20">
        <f>'[4]S4 Datalog + Results'!AP3-'[4]S4 Datalog + Results'!AF3</f>
        <v>-3.2606099145820154E-4</v>
      </c>
      <c r="J3">
        <f>'[1]S1 Datalog+Results'!AO3-'[1]S1 Datalog+Results'!AE3</f>
        <v>-5.3061443932412022E-2</v>
      </c>
      <c r="K3">
        <f>'[2]S2 Datalog + Results'!AO3-'[2]S2 Datalog + Results'!AE3</f>
        <v>7.3801210576618037E-2</v>
      </c>
      <c r="L3">
        <f>'[3]S3 Datalog + Results'!AO3-'[3]S3 Datalog + Results'!AE3</f>
        <v>-4.5422430510666023E-2</v>
      </c>
      <c r="M3">
        <f>'[4]S4 Datalog + Results'!AO3-'[4]S4 Datalog + Results'!AE3</f>
        <v>7.4533582089559847E-3</v>
      </c>
      <c r="N3">
        <f>'[1]S1 Datalog+Results'!AM3-'[1]S1 Datalog+Results'!AC3</f>
        <v>92.619167669351896</v>
      </c>
      <c r="O3">
        <f>'[2]S2 Datalog + Results'!AM3-'[2]S2 Datalog + Results'!AC3</f>
        <v>-33.808502611205796</v>
      </c>
      <c r="P3">
        <f>'[3]S3 Datalog + Results'!AM3-'[3]S3 Datalog + Results'!AC3</f>
        <v>-36.443093596496297</v>
      </c>
      <c r="Q3">
        <f>'[4]S4 Datalog + Results'!AM3-'[4]S4 Datalog + Results'!AC3</f>
        <v>20.709600557540995</v>
      </c>
      <c r="R3">
        <f>'[1]S1 Datalog+Results'!AK3</f>
        <v>4</v>
      </c>
      <c r="S3">
        <f>'[2]S2 Datalog + Results'!AK3</f>
        <v>6</v>
      </c>
      <c r="T3">
        <f>'[3]S3 Datalog + Results'!AK3</f>
        <v>7</v>
      </c>
      <c r="U3">
        <f>'[4]S4 Datalog + Results'!AK3</f>
        <v>7</v>
      </c>
      <c r="V3">
        <f>'[1]S1 Datalog+Results'!S3</f>
        <v>7</v>
      </c>
      <c r="W3">
        <f>'[2]S2 Datalog + Results'!S3</f>
        <v>7</v>
      </c>
      <c r="X3">
        <f>'[3]S3 Datalog + Results'!S3</f>
        <v>7</v>
      </c>
      <c r="Y3">
        <f>'[4]S4 Datalog + Results'!S3</f>
        <v>8</v>
      </c>
      <c r="Z3">
        <f>'[1]S1 Datalog+Results'!T3-'[1]S1 Datalog+Results'!J3</f>
        <v>-73.487445790660104</v>
      </c>
      <c r="AA3">
        <f>'[2]S2 Datalog + Results'!T3-'[2]S2 Datalog + Results'!J3</f>
        <v>50.131913010778987</v>
      </c>
      <c r="AB3">
        <f>'[3]S3 Datalog + Results'!T3-'[3]S3 Datalog + Results'!J3</f>
        <v>-14.161676548320997</v>
      </c>
      <c r="AC3">
        <f>'[4]S4 Datalog + Results'!T3-'[4]S4 Datalog + Results'!J3</f>
        <v>-36.181901815776982</v>
      </c>
      <c r="AD3">
        <f>'[1]S1 Datalog+Results'!X3-'[1]S1 Datalog+Results'!N3</f>
        <v>7.5919548607030277E-5</v>
      </c>
      <c r="AE3">
        <f>'[2]S2 Datalog + Results'!X3-'[2]S2 Datalog + Results'!N3</f>
        <v>-7.9637636852089751E-5</v>
      </c>
      <c r="AF3">
        <f>'[3]S3 Datalog + Results'!X3-'[3]S3 Datalog + Results'!N3</f>
        <v>1.0242367026091007E-3</v>
      </c>
      <c r="AG3">
        <f>'[4]S4 Datalog + Results'!X3-'[4]S4 Datalog + Results'!N3</f>
        <v>-4.5239090124636096E-4</v>
      </c>
      <c r="AH3">
        <f>'[1]S1 Datalog+Results'!W3-'[1]S1 Datalog+Results'!M3</f>
        <v>8.3028985507260233E-3</v>
      </c>
      <c r="AI3">
        <f>'[2]S2 Datalog + Results'!W3-'[2]S2 Datalog + Results'!M3</f>
        <v>-6.1447330447331028E-2</v>
      </c>
      <c r="AJ3">
        <f>'[3]S3 Datalog + Results'!W3-'[3]S3 Datalog + Results'!M3</f>
        <v>6.2032646834477012E-2</v>
      </c>
      <c r="AK3">
        <f>'[4]S4 Datalog + Results'!W3-'[4]S4 Datalog + Results'!M3</f>
        <v>-1.3978714346530974E-2</v>
      </c>
      <c r="AL3">
        <f>'[1]S1 Datalog+Results'!U3-'[1]S1 Datalog+Results'!K3</f>
        <v>-90.062918598142204</v>
      </c>
      <c r="AM3">
        <f>'[2]S2 Datalog + Results'!U3-'[2]S2 Datalog + Results'!K3</f>
        <v>37.426498912526014</v>
      </c>
      <c r="AN3">
        <f>'[3]S3 Datalog + Results'!U3-'[3]S3 Datalog + Results'!K3</f>
        <v>123.247262202654</v>
      </c>
      <c r="AO3">
        <f>'[4]S4 Datalog + Results'!U3-'[4]S4 Datalog + Results'!K3</f>
        <v>-51.878811243893097</v>
      </c>
      <c r="AP3">
        <f>'[1]S1 Datalog+Results'!AL3-'[1]S1 Datalog+Results'!AB3</f>
        <v>106.65865365469598</v>
      </c>
      <c r="AQ3">
        <f>'[2]S2 Datalog + Results'!AL3-'[2]S2 Datalog + Results'!AB3</f>
        <v>13.358531344865995</v>
      </c>
      <c r="AR3">
        <f>'[3]S3 Datalog + Results'!AL3-'[3]S3 Datalog + Results'!AB3</f>
        <v>-50.513279411412512</v>
      </c>
      <c r="AS3">
        <f>'[4]S4 Datalog + Results'!AL3-'[4]S4 Datalog + Results'!AB3</f>
        <v>47.303365768329002</v>
      </c>
    </row>
    <row r="4" spans="1:45">
      <c r="A4">
        <v>3</v>
      </c>
      <c r="B4" t="s">
        <v>189</v>
      </c>
      <c r="C4" s="20">
        <f>'[1]S1 Datalog+Results'!AP4-'[1]S1 Datalog+Results'!AF4</f>
        <v>5.7629067191238004E-4</v>
      </c>
      <c r="D4" t="s">
        <v>119</v>
      </c>
      <c r="E4" s="20">
        <f>'[2]S2 Datalog + Results'!AP4-'[2]S2 Datalog + Results'!AF4</f>
        <v>-8.3586692886922498E-3</v>
      </c>
      <c r="F4" t="s">
        <v>156</v>
      </c>
      <c r="G4" s="20">
        <f>'[3]S3 Datalog + Results'!AP4-'[3]S3 Datalog + Results'!AF4</f>
        <v>4.8394112224729724E-5</v>
      </c>
      <c r="H4" t="s">
        <v>138</v>
      </c>
      <c r="I4" s="20">
        <f>'[4]S4 Datalog + Results'!AP4-'[4]S4 Datalog + Results'!AF4</f>
        <v>7.6814284996844055E-4</v>
      </c>
      <c r="J4">
        <f>'[1]S1 Datalog+Results'!AO4-'[1]S1 Datalog+Results'!AE4</f>
        <v>-4.3812148876405055E-2</v>
      </c>
      <c r="K4">
        <f>'[2]S2 Datalog + Results'!AO4-'[2]S2 Datalog + Results'!AE4</f>
        <v>-0.59175</v>
      </c>
      <c r="L4">
        <f>'[3]S3 Datalog + Results'!AO4-'[3]S3 Datalog + Results'!AE4</f>
        <v>-4.3471794871794089E-2</v>
      </c>
      <c r="M4">
        <f>'[4]S4 Datalog + Results'!AO4-'[4]S4 Datalog + Results'!AE4</f>
        <v>-3.1928052325580936E-2</v>
      </c>
      <c r="N4">
        <f>'[1]S1 Datalog+Results'!AM4-'[1]S1 Datalog+Results'!AC4</f>
        <v>766.22971578482213</v>
      </c>
      <c r="O4">
        <f>'[2]S2 Datalog + Results'!AM4-'[2]S2 Datalog + Results'!AC4</f>
        <v>-274.00254087337203</v>
      </c>
      <c r="P4">
        <f>'[3]S3 Datalog + Results'!AM4-'[3]S3 Datalog + Results'!AC4</f>
        <v>-155.907337640387</v>
      </c>
      <c r="Q4">
        <f>'[4]S4 Datalog + Results'!AM4-'[4]S4 Datalog + Results'!AC4</f>
        <v>217.05286229203432</v>
      </c>
      <c r="R4">
        <f>'[1]S1 Datalog+Results'!AK4</f>
        <v>6</v>
      </c>
      <c r="S4">
        <f>'[2]S2 Datalog + Results'!AK4</f>
        <v>0</v>
      </c>
      <c r="T4">
        <f>'[3]S3 Datalog + Results'!AK4</f>
        <v>6</v>
      </c>
      <c r="U4">
        <f>'[4]S4 Datalog + Results'!AK4</f>
        <v>6</v>
      </c>
      <c r="V4">
        <f>'[1]S1 Datalog+Results'!S4</f>
        <v>7</v>
      </c>
      <c r="W4">
        <f>'[2]S2 Datalog + Results'!S4</f>
        <v>7</v>
      </c>
      <c r="X4">
        <f>'[3]S3 Datalog + Results'!S4</f>
        <v>7</v>
      </c>
      <c r="Y4">
        <f>'[4]S4 Datalog + Results'!S4</f>
        <v>6</v>
      </c>
      <c r="Z4">
        <f>'[1]S1 Datalog+Results'!T4-'[1]S1 Datalog+Results'!J4</f>
        <v>-4.0094916201339856</v>
      </c>
      <c r="AA4">
        <f>'[2]S2 Datalog + Results'!T4-'[2]S2 Datalog + Results'!J4</f>
        <v>-108.31604157842401</v>
      </c>
      <c r="AB4">
        <f>'[3]S3 Datalog + Results'!T4-'[3]S3 Datalog + Results'!J4</f>
        <v>-67.696981987364012</v>
      </c>
      <c r="AC4">
        <f>'[4]S4 Datalog + Results'!T4-'[4]S4 Datalog + Results'!J4</f>
        <v>-177.80314505844899</v>
      </c>
      <c r="AD4">
        <f>'[1]S1 Datalog+Results'!X4-'[1]S1 Datalog+Results'!N4</f>
        <v>-2.2475182055522926E-4</v>
      </c>
      <c r="AE4">
        <f>'[2]S2 Datalog + Results'!X4-'[2]S2 Datalog + Results'!N4</f>
        <v>9.2282540126740944E-4</v>
      </c>
      <c r="AF4">
        <f>'[3]S3 Datalog + Results'!X4-'[3]S3 Datalog + Results'!N4</f>
        <v>-9.031166239978506E-4</v>
      </c>
      <c r="AG4">
        <f>'[4]S4 Datalog + Results'!X4-'[4]S4 Datalog + Results'!N4</f>
        <v>4.7605117390286944E-4</v>
      </c>
      <c r="AH4">
        <f>'[1]S1 Datalog+Results'!W4-'[1]S1 Datalog+Results'!M4</f>
        <v>-9.033276897029402E-2</v>
      </c>
      <c r="AI4">
        <f>'[2]S2 Datalog + Results'!W4-'[2]S2 Datalog + Results'!M4</f>
        <v>-2.9135847342117938E-2</v>
      </c>
      <c r="AJ4">
        <f>'[3]S3 Datalog + Results'!W4-'[3]S3 Datalog + Results'!M4</f>
        <v>2.1004761904760971E-2</v>
      </c>
      <c r="AK4">
        <f>'[4]S4 Datalog + Results'!W4-'[4]S4 Datalog + Results'!M4</f>
        <v>-5.5733634992459036E-2</v>
      </c>
      <c r="AL4">
        <f>'[1]S1 Datalog+Results'!U4-'[1]S1 Datalog+Results'!K4</f>
        <v>115.85291642852195</v>
      </c>
      <c r="AM4">
        <f>'[2]S2 Datalog + Results'!U4-'[2]S2 Datalog + Results'!K4</f>
        <v>-100.308221155296</v>
      </c>
      <c r="AN4">
        <f>'[3]S3 Datalog + Results'!U4-'[3]S3 Datalog + Results'!K4</f>
        <v>-83.53344906496099</v>
      </c>
      <c r="AO4">
        <f>'[4]S4 Datalog + Results'!U4-'[4]S4 Datalog + Results'!K4</f>
        <v>-224.99471278916599</v>
      </c>
      <c r="AP4">
        <f>'[1]S1 Datalog+Results'!AL4-'[1]S1 Datalog+Results'!AB4</f>
        <v>-68.569500856453104</v>
      </c>
      <c r="AQ4">
        <f>'[2]S2 Datalog + Results'!AL4-'[2]S2 Datalog + Results'!AB4</f>
        <v>-217.84453781502</v>
      </c>
      <c r="AR4">
        <f>'[3]S3 Datalog + Results'!AL4-'[3]S3 Datalog + Results'!AB4</f>
        <v>-109.33631617151298</v>
      </c>
      <c r="AS4">
        <f>'[4]S4 Datalog + Results'!AL4-'[4]S4 Datalog + Results'!AB4</f>
        <v>119.00118746786369</v>
      </c>
    </row>
    <row r="5" spans="1:45">
      <c r="A5">
        <v>4</v>
      </c>
      <c r="B5" t="s">
        <v>745</v>
      </c>
      <c r="C5" s="20">
        <f>'[1]S1 Datalog+Results'!AP5-'[1]S1 Datalog+Results'!AF5</f>
        <v>-5.0751976072380134E-4</v>
      </c>
      <c r="D5" t="s">
        <v>189</v>
      </c>
      <c r="E5" s="20">
        <f>'[2]S2 Datalog + Results'!AP5-'[2]S2 Datalog + Results'!AF5</f>
        <v>5.1625544944279914E-4</v>
      </c>
      <c r="F5" t="s">
        <v>138</v>
      </c>
      <c r="G5" s="20">
        <f>'[3]S3 Datalog + Results'!AP5-'[3]S3 Datalog + Results'!AF5</f>
        <v>9.4931166419959939E-4</v>
      </c>
      <c r="H5" t="s">
        <v>156</v>
      </c>
      <c r="I5" s="20">
        <f>'[4]S4 Datalog + Results'!AP5-'[4]S4 Datalog + Results'!AF5</f>
        <v>0</v>
      </c>
      <c r="J5">
        <f>'[1]S1 Datalog+Results'!AO5-'[1]S1 Datalog+Results'!AE5</f>
        <v>4.8936363636363001E-2</v>
      </c>
      <c r="K5">
        <f>'[2]S2 Datalog + Results'!AO5-'[2]S2 Datalog + Results'!AE5</f>
        <v>3.3182656053625026E-2</v>
      </c>
      <c r="L5">
        <f>'[3]S3 Datalog + Results'!AO5-'[3]S3 Datalog + Results'!AE5</f>
        <v>-5.8376204440719948E-2</v>
      </c>
      <c r="M5">
        <f>'[4]S4 Datalog + Results'!AO5-'[4]S4 Datalog + Results'!AE5</f>
        <v>0</v>
      </c>
      <c r="N5">
        <f>'[1]S1 Datalog+Results'!AM5-'[1]S1 Datalog+Results'!AC5</f>
        <v>673.26487424787308</v>
      </c>
      <c r="O5">
        <f>'[2]S2 Datalog + Results'!AM5-'[2]S2 Datalog + Results'!AC5</f>
        <v>-243.465977334012</v>
      </c>
      <c r="P5">
        <f>'[3]S3 Datalog + Results'!AM5-'[3]S3 Datalog + Results'!AC5</f>
        <v>-191.88898539533201</v>
      </c>
      <c r="Q5">
        <f>'[4]S4 Datalog + Results'!AM5-'[4]S4 Datalog + Results'!AC5</f>
        <v>0</v>
      </c>
      <c r="R5">
        <f>'[1]S1 Datalog+Results'!AK5</f>
        <v>5</v>
      </c>
      <c r="S5">
        <f>'[2]S2 Datalog + Results'!AK5</f>
        <v>6</v>
      </c>
      <c r="T5">
        <f>'[3]S3 Datalog + Results'!AK5</f>
        <v>6</v>
      </c>
      <c r="U5">
        <f>'[4]S4 Datalog + Results'!AK5</f>
        <v>0</v>
      </c>
      <c r="V5">
        <f>'[1]S1 Datalog+Results'!S5</f>
        <v>6</v>
      </c>
      <c r="W5">
        <f>'[2]S2 Datalog + Results'!S5</f>
        <v>8</v>
      </c>
      <c r="X5">
        <f>'[3]S3 Datalog + Results'!S5</f>
        <v>8</v>
      </c>
      <c r="Y5">
        <f>'[4]S4 Datalog + Results'!S5</f>
        <v>0</v>
      </c>
      <c r="Z5">
        <f>'[1]S1 Datalog+Results'!T5-'[1]S1 Datalog+Results'!J5</f>
        <v>55.528991287262997</v>
      </c>
      <c r="AA5">
        <f>'[2]S2 Datalog + Results'!T5-'[2]S2 Datalog + Results'!J5</f>
        <v>2.9876962676499943</v>
      </c>
      <c r="AB5">
        <f>'[3]S3 Datalog + Results'!T5-'[3]S3 Datalog + Results'!J5</f>
        <v>-65.409715339355003</v>
      </c>
      <c r="AC5">
        <f>'[4]S4 Datalog + Results'!T5-'[4]S4 Datalog + Results'!J5</f>
        <v>-253.365229190581</v>
      </c>
      <c r="AD5">
        <f>'[1]S1 Datalog+Results'!X5-'[1]S1 Datalog+Results'!N5</f>
        <v>-7.1862642642080143E-4</v>
      </c>
      <c r="AE5">
        <f>'[2]S2 Datalog + Results'!X5-'[2]S2 Datalog + Results'!N5</f>
        <v>-1.9018137576692004E-3</v>
      </c>
      <c r="AF5">
        <f>'[3]S3 Datalog + Results'!X5-'[3]S3 Datalog + Results'!N5</f>
        <v>1.3300459503789025E-3</v>
      </c>
      <c r="AG5">
        <f>'[4]S4 Datalog + Results'!X5-'[4]S4 Datalog + Results'!N5</f>
        <v>-1.7699290932370101E-2</v>
      </c>
      <c r="AH5">
        <f>'[1]S1 Datalog+Results'!W5-'[1]S1 Datalog+Results'!M5</f>
        <v>-2.0047846889960086E-3</v>
      </c>
      <c r="AI5">
        <f>'[2]S2 Datalog + Results'!W5-'[2]S2 Datalog + Results'!M5</f>
        <v>1.8430379746836034E-2</v>
      </c>
      <c r="AJ5">
        <f>'[3]S3 Datalog + Results'!W5-'[3]S3 Datalog + Results'!M5</f>
        <v>-9.5920550038194941E-2</v>
      </c>
      <c r="AK5">
        <f>'[4]S4 Datalog + Results'!W5-'[4]S4 Datalog + Results'!M5</f>
        <v>-0.52546666666666697</v>
      </c>
      <c r="AL5">
        <f>'[1]S1 Datalog+Results'!U5-'[1]S1 Datalog+Results'!K5</f>
        <v>71.239039104767812</v>
      </c>
      <c r="AM5">
        <f>'[2]S2 Datalog + Results'!U5-'[2]S2 Datalog + Results'!K5</f>
        <v>-6.7937543434993586E-2</v>
      </c>
      <c r="AN5">
        <f>'[3]S3 Datalog + Results'!U5-'[3]S3 Datalog + Results'!K5</f>
        <v>-117.43253199101301</v>
      </c>
      <c r="AO5">
        <f>'[4]S4 Datalog + Results'!U5-'[4]S4 Datalog + Results'!K5</f>
        <v>-329.84578912624698</v>
      </c>
      <c r="AP5">
        <f>'[1]S1 Datalog+Results'!AL5-'[1]S1 Datalog+Results'!AB5</f>
        <v>36.97855253484849</v>
      </c>
      <c r="AQ5">
        <f>'[2]S2 Datalog + Results'!AL5-'[2]S2 Datalog + Results'!AB5</f>
        <v>-167.201324310449</v>
      </c>
      <c r="AR5">
        <f>'[3]S3 Datalog + Results'!AL5-'[3]S3 Datalog + Results'!AB5</f>
        <v>365.55237230248099</v>
      </c>
      <c r="AS5">
        <f>'[4]S4 Datalog + Results'!AL5-'[4]S4 Datalog + Results'!AB5</f>
        <v>0</v>
      </c>
    </row>
    <row r="6" spans="1:45">
      <c r="A6">
        <v>5</v>
      </c>
      <c r="B6" t="s">
        <v>156</v>
      </c>
      <c r="C6" s="20">
        <f>'[1]S1 Datalog+Results'!AP6-'[1]S1 Datalog+Results'!AF6</f>
        <v>-1.9894004291266029E-4</v>
      </c>
      <c r="D6" t="s">
        <v>138</v>
      </c>
      <c r="E6" s="20">
        <f>'[2]S2 Datalog + Results'!AP6-'[2]S2 Datalog + Results'!AF6</f>
        <v>8.665253599088301E-4</v>
      </c>
      <c r="F6" t="s">
        <v>189</v>
      </c>
      <c r="G6" s="20">
        <f>'[3]S3 Datalog + Results'!AP6-'[3]S3 Datalog + Results'!AF6</f>
        <v>9.3418245136116067E-4</v>
      </c>
      <c r="H6" t="s">
        <v>334</v>
      </c>
      <c r="I6" s="20">
        <f>'[4]S4 Datalog + Results'!AP6-'[4]S4 Datalog + Results'!AF6</f>
        <v>8.2589262242361294E-3</v>
      </c>
      <c r="J6">
        <f>'[1]S1 Datalog+Results'!AO6-'[1]S1 Datalog+Results'!AE6</f>
        <v>2.4263117283949975E-2</v>
      </c>
      <c r="K6">
        <f>'[2]S2 Datalog + Results'!AO6-'[2]S2 Datalog + Results'!AE6</f>
        <v>-1.5599486521180927E-2</v>
      </c>
      <c r="L6">
        <f>'[3]S3 Datalog + Results'!AO6-'[3]S3 Datalog + Results'!AE6</f>
        <v>2.430243902439011E-3</v>
      </c>
      <c r="M6">
        <f>'[4]S4 Datalog + Results'!AO6-'[4]S4 Datalog + Results'!AE6</f>
        <v>0.49116279069767499</v>
      </c>
      <c r="N6">
        <f>'[1]S1 Datalog+Results'!AM6-'[1]S1 Datalog+Results'!AC6</f>
        <v>-608.25504567015662</v>
      </c>
      <c r="O6">
        <f>'[2]S2 Datalog + Results'!AM6-'[2]S2 Datalog + Results'!AC6</f>
        <v>3.8429465285554993</v>
      </c>
      <c r="P6">
        <f>'[3]S3 Datalog + Results'!AM6-'[3]S3 Datalog + Results'!AC6</f>
        <v>46.820556952534503</v>
      </c>
      <c r="Q6">
        <f>'[4]S4 Datalog + Results'!AM6-'[4]S4 Datalog + Results'!AC6</f>
        <v>0</v>
      </c>
      <c r="R6">
        <f>'[1]S1 Datalog+Results'!AK6</f>
        <v>6</v>
      </c>
      <c r="S6">
        <f>'[2]S2 Datalog + Results'!AK6</f>
        <v>4</v>
      </c>
      <c r="T6">
        <f>'[3]S3 Datalog + Results'!AK6</f>
        <v>4</v>
      </c>
      <c r="U6">
        <f>'[4]S4 Datalog + Results'!AK6</f>
        <v>5</v>
      </c>
      <c r="V6">
        <f>'[1]S1 Datalog+Results'!S6</f>
        <v>4</v>
      </c>
      <c r="W6">
        <f>'[2]S2 Datalog + Results'!S6</f>
        <v>5</v>
      </c>
      <c r="X6">
        <f>'[3]S3 Datalog + Results'!S6</f>
        <v>5</v>
      </c>
      <c r="Y6">
        <f>'[4]S4 Datalog + Results'!S6</f>
        <v>0</v>
      </c>
      <c r="Z6">
        <f>'[1]S1 Datalog+Results'!T6-'[1]S1 Datalog+Results'!J6</f>
        <v>-13.056930432541606</v>
      </c>
      <c r="AA6">
        <f>'[2]S2 Datalog + Results'!T6-'[2]S2 Datalog + Results'!J6</f>
        <v>279.23214240948681</v>
      </c>
      <c r="AB6">
        <f>'[3]S3 Datalog + Results'!T6-'[3]S3 Datalog + Results'!J6</f>
        <v>-7.5531994770582003</v>
      </c>
      <c r="AC6">
        <f>'[4]S4 Datalog + Results'!T6-'[4]S4 Datalog + Results'!J6</f>
        <v>-32.470788216270797</v>
      </c>
      <c r="AD6">
        <f>'[1]S1 Datalog+Results'!X6-'[1]S1 Datalog+Results'!N6</f>
        <v>-1.1795593561321049E-4</v>
      </c>
      <c r="AE6">
        <f>'[2]S2 Datalog + Results'!X6-'[2]S2 Datalog + Results'!N6</f>
        <v>8.7681266153500064E-4</v>
      </c>
      <c r="AF6">
        <f>'[3]S3 Datalog + Results'!X6-'[3]S3 Datalog + Results'!N6</f>
        <v>3.5962637463611991E-4</v>
      </c>
      <c r="AG6">
        <f>'[4]S4 Datalog + Results'!X6-'[4]S4 Datalog + Results'!N6</f>
        <v>-6.95285329727702E-3</v>
      </c>
      <c r="AH6">
        <f>'[1]S1 Datalog+Results'!W6-'[1]S1 Datalog+Results'!M6</f>
        <v>-0.100155771195097</v>
      </c>
      <c r="AI6">
        <f>'[2]S2 Datalog + Results'!W6-'[2]S2 Datalog + Results'!M6</f>
        <v>2.9887005649717968E-2</v>
      </c>
      <c r="AJ6">
        <f>'[3]S3 Datalog + Results'!W6-'[3]S3 Datalog + Results'!M6</f>
        <v>-1.5390524250069981E-2</v>
      </c>
      <c r="AK6">
        <f>'[4]S4 Datalog + Results'!W6-'[4]S4 Datalog + Results'!M6</f>
        <v>-0.53646511627907001</v>
      </c>
      <c r="AL6">
        <f>'[1]S1 Datalog+Results'!U6-'[1]S1 Datalog+Results'!K6</f>
        <v>-64.169696898146597</v>
      </c>
      <c r="AM6">
        <f>'[2]S2 Datalog + Results'!U6-'[2]S2 Datalog + Results'!K6</f>
        <v>397.28358495496519</v>
      </c>
      <c r="AN6">
        <f>'[3]S3 Datalog + Results'!U6-'[3]S3 Datalog + Results'!K6</f>
        <v>2.3301051408248998</v>
      </c>
      <c r="AO6">
        <f>'[4]S4 Datalog + Results'!U6-'[4]S4 Datalog + Results'!K6</f>
        <v>-12.5780995765284</v>
      </c>
      <c r="AP6">
        <f>'[1]S1 Datalog+Results'!AL6-'[1]S1 Datalog+Results'!AB6</f>
        <v>10.408606933690701</v>
      </c>
      <c r="AQ6">
        <f>'[2]S2 Datalog + Results'!AL6-'[2]S2 Datalog + Results'!AB6</f>
        <v>-12.400274122033199</v>
      </c>
      <c r="AR6">
        <f>'[3]S3 Datalog + Results'!AL6-'[3]S3 Datalog + Results'!AB6</f>
        <v>15.922325248560597</v>
      </c>
      <c r="AS6">
        <f>'[4]S4 Datalog + Results'!AL6-'[4]S4 Datalog + Results'!AB6</f>
        <v>132.53707879713201</v>
      </c>
    </row>
    <row r="7" spans="1:45">
      <c r="A7">
        <v>6</v>
      </c>
      <c r="B7" t="s">
        <v>138</v>
      </c>
      <c r="C7" s="20">
        <f>'[1]S1 Datalog+Results'!AP7-'[1]S1 Datalog+Results'!AF7</f>
        <v>-6.9974486950603008E-4</v>
      </c>
      <c r="D7" t="s">
        <v>119</v>
      </c>
      <c r="E7" s="20">
        <f>'[2]S2 Datalog + Results'!AP7-'[2]S2 Datalog + Results'!AF7</f>
        <v>4.0308429270427028E-4</v>
      </c>
      <c r="F7" t="s">
        <v>156</v>
      </c>
      <c r="G7" s="20">
        <f>'[3]S3 Datalog + Results'!AP7-'[3]S3 Datalog + Results'!AF7</f>
        <v>-3.9773174098647699E-3</v>
      </c>
      <c r="H7" t="s">
        <v>189</v>
      </c>
      <c r="I7" s="20">
        <f>'[4]S4 Datalog + Results'!AP7-'[4]S4 Datalog + Results'!AF7</f>
        <v>-3.133404955714598E-4</v>
      </c>
      <c r="J7">
        <f>'[1]S1 Datalog+Results'!AO7-'[1]S1 Datalog+Results'!AE7</f>
        <v>-7.2167460317461019E-2</v>
      </c>
      <c r="K7">
        <f>'[2]S2 Datalog + Results'!AO7-'[2]S2 Datalog + Results'!AE7</f>
        <v>-2.221409214092207E-2</v>
      </c>
      <c r="L7">
        <f>'[3]S3 Datalog + Results'!AO7-'[3]S3 Datalog + Results'!AE7</f>
        <v>5.8970588235293997E-2</v>
      </c>
      <c r="M7">
        <f>'[4]S4 Datalog + Results'!AO7-'[4]S4 Datalog + Results'!AE7</f>
        <v>-3.0020300751879003E-2</v>
      </c>
      <c r="N7">
        <f>'[1]S1 Datalog+Results'!AM7-'[1]S1 Datalog+Results'!AC7</f>
        <v>-1.7251970252630002</v>
      </c>
      <c r="O7">
        <f>'[2]S2 Datalog + Results'!AM7-'[2]S2 Datalog + Results'!AC7</f>
        <v>-50.108164688338896</v>
      </c>
      <c r="P7">
        <f>'[3]S3 Datalog + Results'!AM7-'[3]S3 Datalog + Results'!AC7</f>
        <v>-487.71234088987296</v>
      </c>
      <c r="Q7">
        <f>'[4]S4 Datalog + Results'!AM7-'[4]S4 Datalog + Results'!AC7</f>
        <v>-21.183859139157207</v>
      </c>
      <c r="R7">
        <f>'[1]S1 Datalog+Results'!AK7</f>
        <v>4</v>
      </c>
      <c r="S7">
        <f>'[2]S2 Datalog + Results'!AK7</f>
        <v>6</v>
      </c>
      <c r="T7">
        <f>'[3]S3 Datalog + Results'!AK7</f>
        <v>5</v>
      </c>
      <c r="U7">
        <f>'[4]S4 Datalog + Results'!AK7</f>
        <v>6</v>
      </c>
      <c r="V7">
        <f>'[1]S1 Datalog+Results'!S7</f>
        <v>6</v>
      </c>
      <c r="W7">
        <f>'[2]S2 Datalog + Results'!S7</f>
        <v>6</v>
      </c>
      <c r="X7">
        <f>'[3]S3 Datalog + Results'!S7</f>
        <v>7</v>
      </c>
      <c r="Y7">
        <f>'[4]S4 Datalog + Results'!S7</f>
        <v>5</v>
      </c>
      <c r="Z7">
        <f>'[1]S1 Datalog+Results'!T7-'[1]S1 Datalog+Results'!J7</f>
        <v>-6.4285798505655976</v>
      </c>
      <c r="AA7">
        <f>'[2]S2 Datalog + Results'!T7-'[2]S2 Datalog + Results'!J7</f>
        <v>0.25395063568859655</v>
      </c>
      <c r="AB7">
        <f>'[3]S3 Datalog + Results'!T7-'[3]S3 Datalog + Results'!J7</f>
        <v>7.8124841542799999</v>
      </c>
      <c r="AC7">
        <f>'[4]S4 Datalog + Results'!T7-'[4]S4 Datalog + Results'!J7</f>
        <v>-44.409952202826801</v>
      </c>
      <c r="AD7">
        <f>'[1]S1 Datalog+Results'!X7-'[1]S1 Datalog+Results'!N7</f>
        <v>-3.115741012544998E-4</v>
      </c>
      <c r="AE7">
        <f>'[2]S2 Datalog + Results'!X7-'[2]S2 Datalog + Results'!N7</f>
        <v>2.22923671609175E-3</v>
      </c>
      <c r="AF7">
        <f>'[3]S3 Datalog + Results'!X7-'[3]S3 Datalog + Results'!N7</f>
        <v>-3.7560013400467999E-3</v>
      </c>
      <c r="AG7">
        <f>'[4]S4 Datalog + Results'!X7-'[4]S4 Datalog + Results'!N7</f>
        <v>-1.97655466518113E-3</v>
      </c>
      <c r="AH7">
        <f>'[1]S1 Datalog+Results'!W7-'[1]S1 Datalog+Results'!M7</f>
        <v>6.8827172827172933E-2</v>
      </c>
      <c r="AI7">
        <f>'[2]S2 Datalog + Results'!W7-'[2]S2 Datalog + Results'!M7</f>
        <v>-4.4382433356117967E-2</v>
      </c>
      <c r="AJ7">
        <f>'[3]S3 Datalog + Results'!W7-'[3]S3 Datalog + Results'!M7</f>
        <v>-5.9379379379370656E-3</v>
      </c>
      <c r="AK7">
        <f>'[4]S4 Datalog + Results'!W7-'[4]S4 Datalog + Results'!M7</f>
        <v>-3.0027318792685942E-2</v>
      </c>
      <c r="AL7">
        <f>'[1]S1 Datalog+Results'!U7-'[1]S1 Datalog+Results'!K7</f>
        <v>-3.8926833218654906</v>
      </c>
      <c r="AM7">
        <f>'[2]S2 Datalog + Results'!U7-'[2]S2 Datalog + Results'!K7</f>
        <v>7.5378246541208114</v>
      </c>
      <c r="AN7">
        <f>'[3]S3 Datalog + Results'!U7-'[3]S3 Datalog + Results'!K7</f>
        <v>12.640354827634496</v>
      </c>
      <c r="AO7">
        <f>'[4]S4 Datalog + Results'!U7-'[4]S4 Datalog + Results'!K7</f>
        <v>-22.475671461990601</v>
      </c>
      <c r="AP7">
        <f>'[1]S1 Datalog+Results'!AL7-'[1]S1 Datalog+Results'!AB7</f>
        <v>-27.357223099015101</v>
      </c>
      <c r="AQ7">
        <f>'[2]S2 Datalog + Results'!AL7-'[2]S2 Datalog + Results'!AB7</f>
        <v>-30.3621607749959</v>
      </c>
      <c r="AR7">
        <f>'[3]S3 Datalog + Results'!AL7-'[3]S3 Datalog + Results'!AB7</f>
        <v>-326.68983292343898</v>
      </c>
      <c r="AS7">
        <f>'[4]S4 Datalog + Results'!AL7-'[4]S4 Datalog + Results'!AB7</f>
        <v>-48.136859006588907</v>
      </c>
    </row>
    <row r="8" spans="1:45">
      <c r="A8">
        <v>7</v>
      </c>
      <c r="B8" t="s">
        <v>119</v>
      </c>
      <c r="C8" s="20">
        <f>'[1]S1 Datalog+Results'!AP8-'[1]S1 Datalog+Results'!AF8</f>
        <v>-5.1271686575459982E-4</v>
      </c>
      <c r="D8" t="s">
        <v>156</v>
      </c>
      <c r="E8" s="20">
        <f>'[2]S2 Datalog + Results'!AP8-'[2]S2 Datalog + Results'!AF8</f>
        <v>1.0433057914738704E-3</v>
      </c>
      <c r="F8" t="s">
        <v>189</v>
      </c>
      <c r="G8" s="20">
        <f>'[3]S3 Datalog + Results'!AP8-'[3]S3 Datalog + Results'!AF8</f>
        <v>3.9932645771502788E-3</v>
      </c>
      <c r="H8" t="s">
        <v>138</v>
      </c>
      <c r="I8" s="20">
        <f>'[4]S4 Datalog + Results'!AP8-'[4]S4 Datalog + Results'!AF8</f>
        <v>3.1446011392185988E-3</v>
      </c>
      <c r="J8">
        <f>'[1]S1 Datalog+Results'!AO8-'[1]S1 Datalog+Results'!AE8</f>
        <v>-4.739072229140795E-2</v>
      </c>
      <c r="K8">
        <f>'[2]S2 Datalog + Results'!AO8-'[2]S2 Datalog + Results'!AE8</f>
        <v>-2.3032564450470305E-3</v>
      </c>
      <c r="L8">
        <f>'[3]S3 Datalog + Results'!AO8-'[3]S3 Datalog + Results'!AE8</f>
        <v>5.563532763532697E-2</v>
      </c>
      <c r="M8">
        <f>'[4]S4 Datalog + Results'!AO8-'[4]S4 Datalog + Results'!AE8</f>
        <v>-3.7496007789679042E-2</v>
      </c>
      <c r="N8">
        <f>'[1]S1 Datalog+Results'!AM8-'[1]S1 Datalog+Results'!AC8</f>
        <v>522.98641708253695</v>
      </c>
      <c r="O8">
        <f>'[2]S2 Datalog + Results'!AM8-'[2]S2 Datalog + Results'!AC8</f>
        <v>562.53431797297594</v>
      </c>
      <c r="P8">
        <f>'[3]S3 Datalog + Results'!AM8-'[3]S3 Datalog + Results'!AC8</f>
        <v>-46.070554587502102</v>
      </c>
      <c r="Q8">
        <f>'[4]S4 Datalog + Results'!AM8-'[4]S4 Datalog + Results'!AC8</f>
        <v>-8.2160893285744976</v>
      </c>
      <c r="R8">
        <f>'[1]S1 Datalog+Results'!AK8</f>
        <v>5</v>
      </c>
      <c r="S8">
        <f>'[2]S2 Datalog + Results'!AK8</f>
        <v>6</v>
      </c>
      <c r="T8">
        <f>'[3]S3 Datalog + Results'!AK8</f>
        <v>4</v>
      </c>
      <c r="U8">
        <f>'[4]S4 Datalog + Results'!AK8</f>
        <v>6</v>
      </c>
      <c r="V8">
        <f>'[1]S1 Datalog+Results'!S8</f>
        <v>6</v>
      </c>
      <c r="W8">
        <f>'[2]S2 Datalog + Results'!S8</f>
        <v>6</v>
      </c>
      <c r="X8">
        <f>'[3]S3 Datalog + Results'!S8</f>
        <v>7</v>
      </c>
      <c r="Y8">
        <f>'[4]S4 Datalog + Results'!S8</f>
        <v>6</v>
      </c>
      <c r="Z8">
        <f>'[1]S1 Datalog+Results'!T8-'[1]S1 Datalog+Results'!J8</f>
        <v>-35.163733540239988</v>
      </c>
      <c r="AA8">
        <f>'[2]S2 Datalog + Results'!T8-'[2]S2 Datalog + Results'!J8</f>
        <v>332.9385616459906</v>
      </c>
      <c r="AB8">
        <f>'[3]S3 Datalog + Results'!T8-'[3]S3 Datalog + Results'!J8</f>
        <v>-10.400548857239897</v>
      </c>
      <c r="AC8">
        <f>'[4]S4 Datalog + Results'!T8-'[4]S4 Datalog + Results'!J8</f>
        <v>-11.939780473588904</v>
      </c>
      <c r="AD8">
        <f>'[1]S1 Datalog+Results'!X8-'[1]S1 Datalog+Results'!N8</f>
        <v>8.6405548901599856E-4</v>
      </c>
      <c r="AE8">
        <f>'[2]S2 Datalog + Results'!X8-'[2]S2 Datalog + Results'!N8</f>
        <v>-2.1948535774750019E-4</v>
      </c>
      <c r="AF8">
        <f>'[3]S3 Datalog + Results'!X8-'[3]S3 Datalog + Results'!N8</f>
        <v>3.8800204252269002E-3</v>
      </c>
      <c r="AG8">
        <f>'[4]S4 Datalog + Results'!X8-'[4]S4 Datalog + Results'!N8</f>
        <v>3.7675302377078012E-3</v>
      </c>
      <c r="AH8">
        <f>'[1]S1 Datalog+Results'!W8-'[1]S1 Datalog+Results'!M8</f>
        <v>4.1705034213098013E-2</v>
      </c>
      <c r="AI8">
        <f>'[2]S2 Datalog + Results'!W8-'[2]S2 Datalog + Results'!M8</f>
        <v>1.4578402107111033E-2</v>
      </c>
      <c r="AJ8">
        <f>'[3]S3 Datalog + Results'!W8-'[3]S3 Datalog + Results'!M8</f>
        <v>1.1252747252739614E-3</v>
      </c>
      <c r="AK8">
        <f>'[4]S4 Datalog + Results'!W8-'[4]S4 Datalog + Results'!M8</f>
        <v>6.3704063461225924E-2</v>
      </c>
      <c r="AL8">
        <f>'[1]S1 Datalog+Results'!U8-'[1]S1 Datalog+Results'!K8</f>
        <v>-69.406488272758992</v>
      </c>
      <c r="AM8">
        <f>'[2]S2 Datalog + Results'!U8-'[2]S2 Datalog + Results'!K8</f>
        <v>406.27593645538502</v>
      </c>
      <c r="AN8">
        <f>'[3]S3 Datalog + Results'!U8-'[3]S3 Datalog + Results'!K8</f>
        <v>-0.73827731602530022</v>
      </c>
      <c r="AO8">
        <f>'[4]S4 Datalog + Results'!U8-'[4]S4 Datalog + Results'!K8</f>
        <v>-6.9183541031936961</v>
      </c>
      <c r="AP8">
        <f>'[1]S1 Datalog+Results'!AL8-'[1]S1 Datalog+Results'!AB8</f>
        <v>359.78938633000701</v>
      </c>
      <c r="AQ8">
        <f>'[2]S2 Datalog + Results'!AL8-'[2]S2 Datalog + Results'!AB8</f>
        <v>535.75980653312217</v>
      </c>
      <c r="AR8">
        <f>'[3]S3 Datalog + Results'!AL8-'[3]S3 Datalog + Results'!AB8</f>
        <v>-74.478974981438398</v>
      </c>
      <c r="AS8">
        <f>'[4]S4 Datalog + Results'!AL8-'[4]S4 Datalog + Results'!AB8</f>
        <v>-37.136293701505494</v>
      </c>
    </row>
    <row r="9" spans="1:45">
      <c r="A9">
        <v>8</v>
      </c>
      <c r="B9" t="s">
        <v>189</v>
      </c>
      <c r="C9" s="20">
        <f>'[1]S1 Datalog+Results'!AP9-'[1]S1 Datalog+Results'!AF9</f>
        <v>-5.4017619550490031E-4</v>
      </c>
      <c r="D9" t="s">
        <v>138</v>
      </c>
      <c r="E9" s="20">
        <f>'[2]S2 Datalog + Results'!AP9-'[2]S2 Datalog + Results'!AF9</f>
        <v>-2.2978262864712991E-3</v>
      </c>
      <c r="F9" t="s">
        <v>156</v>
      </c>
      <c r="G9" s="20">
        <f>'[3]S3 Datalog + Results'!AP9-'[3]S3 Datalog + Results'!AF9</f>
        <v>-5.7974915460859006E-3</v>
      </c>
      <c r="H9" t="s">
        <v>334</v>
      </c>
      <c r="I9" s="20">
        <f>'[4]S4 Datalog + Results'!AP9-'[4]S4 Datalog + Results'!AF9</f>
        <v>-2.3608286576073008E-3</v>
      </c>
      <c r="J9">
        <f>'[1]S1 Datalog+Results'!AO9-'[1]S1 Datalog+Results'!AE9</f>
        <v>-3.5231941391939969E-2</v>
      </c>
      <c r="K9">
        <f>'[2]S2 Datalog + Results'!AO9-'[2]S2 Datalog + Results'!AE9</f>
        <v>-3.3669191919191988E-2</v>
      </c>
      <c r="L9">
        <f>'[3]S3 Datalog + Results'!AO9-'[3]S3 Datalog + Results'!AE9</f>
        <v>-3.7097332372026004E-2</v>
      </c>
      <c r="M9">
        <f>'[4]S4 Datalog + Results'!AO9-'[4]S4 Datalog + Results'!AE9</f>
        <v>-3.3567528735633068E-2</v>
      </c>
      <c r="N9">
        <f>'[1]S1 Datalog+Results'!AM9-'[1]S1 Datalog+Results'!AC9</f>
        <v>-7.7944620708965004</v>
      </c>
      <c r="O9">
        <f>'[2]S2 Datalog + Results'!AM9-'[2]S2 Datalog + Results'!AC9</f>
        <v>-8.1981917686417987</v>
      </c>
      <c r="P9">
        <f>'[3]S3 Datalog + Results'!AM9-'[3]S3 Datalog + Results'!AC9</f>
        <v>-13.428336172884499</v>
      </c>
      <c r="Q9">
        <f>'[4]S4 Datalog + Results'!AM9-'[4]S4 Datalog + Results'!AC9</f>
        <v>-4.5323902006037002</v>
      </c>
      <c r="R9">
        <f>'[1]S1 Datalog+Results'!AK9</f>
        <v>6</v>
      </c>
      <c r="S9">
        <f>'[2]S2 Datalog + Results'!AK9</f>
        <v>6</v>
      </c>
      <c r="T9">
        <f>'[3]S3 Datalog + Results'!AK9</f>
        <v>5</v>
      </c>
      <c r="U9">
        <f>'[4]S4 Datalog + Results'!AK9</f>
        <v>6</v>
      </c>
      <c r="V9">
        <f>'[1]S1 Datalog+Results'!S9</f>
        <v>6</v>
      </c>
      <c r="W9">
        <f>'[2]S2 Datalog + Results'!S9</f>
        <v>6</v>
      </c>
      <c r="X9">
        <f>'[3]S3 Datalog + Results'!S9</f>
        <v>6</v>
      </c>
      <c r="Y9">
        <f>'[4]S4 Datalog + Results'!S9</f>
        <v>6</v>
      </c>
      <c r="Z9">
        <f>'[1]S1 Datalog+Results'!T9-'[1]S1 Datalog+Results'!J9</f>
        <v>-35.229289272613897</v>
      </c>
      <c r="AA9">
        <f>'[2]S2 Datalog + Results'!T9-'[2]S2 Datalog + Results'!J9</f>
        <v>-13.891373580809599</v>
      </c>
      <c r="AB9">
        <f>'[3]S3 Datalog + Results'!T9-'[3]S3 Datalog + Results'!J9</f>
        <v>8.2152068133453042</v>
      </c>
      <c r="AC9">
        <f>'[4]S4 Datalog + Results'!T9-'[4]S4 Datalog + Results'!J9</f>
        <v>-0.38367712164800594</v>
      </c>
      <c r="AD9">
        <f>'[1]S1 Datalog+Results'!X9-'[1]S1 Datalog+Results'!N9</f>
        <v>-2.0244219578757997E-3</v>
      </c>
      <c r="AE9">
        <f>'[2]S2 Datalog + Results'!X9-'[2]S2 Datalog + Results'!N9</f>
        <v>4.3198689243099941E-4</v>
      </c>
      <c r="AF9">
        <f>'[3]S3 Datalog + Results'!X9-'[3]S3 Datalog + Results'!N9</f>
        <v>-1.4232804741773995E-3</v>
      </c>
      <c r="AG9">
        <f>'[4]S4 Datalog + Results'!X9-'[4]S4 Datalog + Results'!N9</f>
        <v>-4.153985171902002E-3</v>
      </c>
      <c r="AH9">
        <f>'[1]S1 Datalog+Results'!W9-'[1]S1 Datalog+Results'!M9</f>
        <v>-2.1384866275278025E-2</v>
      </c>
      <c r="AI9">
        <f>'[2]S2 Datalog + Results'!W9-'[2]S2 Datalog + Results'!M9</f>
        <v>-2.2822966507179965E-3</v>
      </c>
      <c r="AJ9">
        <f>'[3]S3 Datalog + Results'!W9-'[3]S3 Datalog + Results'!M9</f>
        <v>-2.0544840294839994E-2</v>
      </c>
      <c r="AK9">
        <f>'[4]S4 Datalog + Results'!W9-'[4]S4 Datalog + Results'!M9</f>
        <v>-4.635260842237704E-2</v>
      </c>
      <c r="AL9">
        <f>'[1]S1 Datalog+Results'!U9-'[1]S1 Datalog+Results'!K9</f>
        <v>-52.339275937995694</v>
      </c>
      <c r="AM9">
        <f>'[2]S2 Datalog + Results'!U9-'[2]S2 Datalog + Results'!K9</f>
        <v>-5.4388557407030049</v>
      </c>
      <c r="AN9">
        <f>'[3]S3 Datalog + Results'!U9-'[3]S3 Datalog + Results'!K9</f>
        <v>-0.68776372868999402</v>
      </c>
      <c r="AO9">
        <f>'[4]S4 Datalog + Results'!U9-'[4]S4 Datalog + Results'!K9</f>
        <v>25.38038294541159</v>
      </c>
      <c r="AP9">
        <f>'[1]S1 Datalog+Results'!AL9-'[1]S1 Datalog+Results'!AB9</f>
        <v>-3.7621749922006984</v>
      </c>
      <c r="AQ9">
        <f>'[2]S2 Datalog + Results'!AL9-'[2]S2 Datalog + Results'!AB9</f>
        <v>-17.937897681923999</v>
      </c>
      <c r="AR9">
        <f>'[3]S3 Datalog + Results'!AL9-'[3]S3 Datalog + Results'!AB9</f>
        <v>-14.717320602954004</v>
      </c>
      <c r="AS9">
        <f>'[4]S4 Datalog + Results'!AL9-'[4]S4 Datalog + Results'!AB9</f>
        <v>-16.315288478081001</v>
      </c>
    </row>
    <row r="10" spans="1:45">
      <c r="A10">
        <v>9</v>
      </c>
      <c r="B10" t="s">
        <v>138</v>
      </c>
      <c r="C10" s="20">
        <f>'[1]S1 Datalog+Results'!AP10-'[1]S1 Datalog+Results'!AF10</f>
        <v>6.4502753495210112E-4</v>
      </c>
      <c r="D10" t="s">
        <v>189</v>
      </c>
      <c r="E10" s="20">
        <f>'[2]S2 Datalog + Results'!AP10-'[2]S2 Datalog + Results'!AF10</f>
        <v>-1.1300832504738591E-3</v>
      </c>
      <c r="F10" t="s">
        <v>746</v>
      </c>
      <c r="G10" s="20">
        <f>'[3]S3 Datalog + Results'!AP10-'[3]S3 Datalog + Results'!AF10</f>
        <v>-2.5592183094317999E-3</v>
      </c>
      <c r="H10" t="s">
        <v>156</v>
      </c>
      <c r="I10" s="20">
        <f>'[4]S4 Datalog + Results'!AP10-'[4]S4 Datalog + Results'!AF10</f>
        <v>1.4716276758913911E-4</v>
      </c>
      <c r="J10">
        <f>'[1]S1 Datalog+Results'!AO10-'[1]S1 Datalog+Results'!AE10</f>
        <v>5.2886991001980244E-3</v>
      </c>
      <c r="K10">
        <f>'[2]S2 Datalog + Results'!AO10-'[2]S2 Datalog + Results'!AE10</f>
        <v>-1.9124778237709084E-3</v>
      </c>
      <c r="L10">
        <f>'[3]S3 Datalog + Results'!AO10-'[3]S3 Datalog + Results'!AE10</f>
        <v>5.9844155844157032E-2</v>
      </c>
      <c r="M10">
        <f>'[4]S4 Datalog + Results'!AO10-'[4]S4 Datalog + Results'!AE10</f>
        <v>8.0509166173862001E-2</v>
      </c>
      <c r="N10">
        <f>'[1]S1 Datalog+Results'!AM10-'[1]S1 Datalog+Results'!AC10</f>
        <v>0.44540024507300302</v>
      </c>
      <c r="O10">
        <f>'[2]S2 Datalog + Results'!AM10-'[2]S2 Datalog + Results'!AC10</f>
        <v>105.53983378550481</v>
      </c>
      <c r="P10">
        <f>'[3]S3 Datalog + Results'!AM10-'[3]S3 Datalog + Results'!AC10</f>
        <v>10.443834333523</v>
      </c>
      <c r="Q10">
        <f>'[4]S4 Datalog + Results'!AM10-'[4]S4 Datalog + Results'!AC10</f>
        <v>-15.678540330330009</v>
      </c>
      <c r="R10">
        <f>'[1]S1 Datalog+Results'!AK10</f>
        <v>8</v>
      </c>
      <c r="S10">
        <f>'[2]S2 Datalog + Results'!AK10</f>
        <v>8</v>
      </c>
      <c r="T10">
        <f>'[3]S3 Datalog + Results'!AK10</f>
        <v>8</v>
      </c>
      <c r="U10">
        <f>'[4]S4 Datalog + Results'!AK10</f>
        <v>8</v>
      </c>
      <c r="V10">
        <f>'[1]S1 Datalog+Results'!S10</f>
        <v>8</v>
      </c>
      <c r="W10">
        <f>'[2]S2 Datalog + Results'!S10</f>
        <v>8</v>
      </c>
      <c r="X10">
        <f>'[3]S3 Datalog + Results'!S10</f>
        <v>8</v>
      </c>
      <c r="Y10">
        <f>'[4]S4 Datalog + Results'!S10</f>
        <v>8</v>
      </c>
      <c r="Z10">
        <f>'[1]S1 Datalog+Results'!T10-'[1]S1 Datalog+Results'!J10</f>
        <v>-108.78067035339089</v>
      </c>
      <c r="AA10">
        <f>'[2]S2 Datalog + Results'!T10-'[2]S2 Datalog + Results'!J10</f>
        <v>-5.371819131011307</v>
      </c>
      <c r="AB10">
        <f>'[3]S3 Datalog + Results'!T10-'[3]S3 Datalog + Results'!J10</f>
        <v>-26.541305446196006</v>
      </c>
      <c r="AC10">
        <f>'[4]S4 Datalog + Results'!T10-'[4]S4 Datalog + Results'!J10</f>
        <v>-22.50331180023602</v>
      </c>
      <c r="AD10">
        <f>'[1]S1 Datalog+Results'!X10-'[1]S1 Datalog+Results'!N10</f>
        <v>-4.810698989462011E-4</v>
      </c>
      <c r="AE10">
        <f>'[2]S2 Datalog + Results'!X10-'[2]S2 Datalog + Results'!N10</f>
        <v>6.4517721967146877E-4</v>
      </c>
      <c r="AF10">
        <f>'[3]S3 Datalog + Results'!X10-'[3]S3 Datalog + Results'!N10</f>
        <v>1.1096873301573301E-3</v>
      </c>
      <c r="AG10">
        <f>'[4]S4 Datalog + Results'!X10-'[4]S4 Datalog + Results'!N10</f>
        <v>-2.8051756818244997E-4</v>
      </c>
      <c r="AH10">
        <f>'[1]S1 Datalog+Results'!W10-'[1]S1 Datalog+Results'!M10</f>
        <v>-4.3552777777776996E-2</v>
      </c>
      <c r="AI10">
        <f>'[2]S2 Datalog + Results'!W10-'[2]S2 Datalog + Results'!M10</f>
        <v>-3.8725928032996959E-2</v>
      </c>
      <c r="AJ10">
        <f>'[3]S3 Datalog + Results'!W10-'[3]S3 Datalog + Results'!M10</f>
        <v>7.6820348837207952E-2</v>
      </c>
      <c r="AK10">
        <f>'[4]S4 Datalog + Results'!W10-'[4]S4 Datalog + Results'!M10</f>
        <v>5.2805118931701034E-2</v>
      </c>
      <c r="AL10">
        <f>'[1]S1 Datalog+Results'!U10-'[1]S1 Datalog+Results'!K10</f>
        <v>-136.95360137026219</v>
      </c>
      <c r="AM10">
        <f>'[2]S2 Datalog + Results'!U10-'[2]S2 Datalog + Results'!K10</f>
        <v>13.669738032895992</v>
      </c>
      <c r="AN10">
        <f>'[3]S3 Datalog + Results'!U10-'[3]S3 Datalog + Results'!K10</f>
        <v>-46.671559680963</v>
      </c>
      <c r="AO10">
        <f>'[4]S4 Datalog + Results'!U10-'[4]S4 Datalog + Results'!K10</f>
        <v>-48.041275491517013</v>
      </c>
      <c r="AP10">
        <f>'[1]S1 Datalog+Results'!AL10-'[1]S1 Datalog+Results'!AB10</f>
        <v>-2.6724267540985949</v>
      </c>
      <c r="AQ10">
        <f>'[2]S2 Datalog + Results'!AL10-'[2]S2 Datalog + Results'!AB10</f>
        <v>58.7126700531336</v>
      </c>
      <c r="AR10">
        <f>'[3]S3 Datalog + Results'!AL10-'[3]S3 Datalog + Results'!AB10</f>
        <v>5.7516468682070041</v>
      </c>
      <c r="AS10">
        <f>'[4]S4 Datalog + Results'!AL10-'[4]S4 Datalog + Results'!AB10</f>
        <v>-32.031325230560398</v>
      </c>
    </row>
    <row r="11" spans="1:45">
      <c r="A11">
        <v>10</v>
      </c>
      <c r="B11" t="s">
        <v>156</v>
      </c>
      <c r="C11" s="20">
        <f>'[1]S1 Datalog+Results'!AP11-'[1]S1 Datalog+Results'!AF11</f>
        <v>6.8312462250026476E-2</v>
      </c>
      <c r="D11" t="s">
        <v>119</v>
      </c>
      <c r="E11" s="20">
        <f>'[2]S2 Datalog + Results'!AP11-'[2]S2 Datalog + Results'!AF11</f>
        <v>6.6338742151315997E-4</v>
      </c>
      <c r="F11" t="s">
        <v>138</v>
      </c>
      <c r="G11" s="20">
        <f>'[3]S3 Datalog + Results'!AP11-'[3]S3 Datalog + Results'!AF11</f>
        <v>-3.9438154306475036E-4</v>
      </c>
      <c r="H11" t="s">
        <v>189</v>
      </c>
      <c r="I11" s="20">
        <f>'[4]S4 Datalog + Results'!AP11-'[4]S4 Datalog + Results'!AF11</f>
        <v>1.5080789940393191E-3</v>
      </c>
      <c r="J11">
        <f>'[1]S1 Datalog+Results'!AO11-'[1]S1 Datalog+Results'!AE11</f>
        <v>0.17375000000000096</v>
      </c>
      <c r="K11">
        <f>'[2]S2 Datalog + Results'!AO11-'[2]S2 Datalog + Results'!AE11</f>
        <v>7.4818181818182006E-2</v>
      </c>
      <c r="L11">
        <f>'[3]S3 Datalog + Results'!AO11-'[3]S3 Datalog + Results'!AE11</f>
        <v>2.8614379084966002E-2</v>
      </c>
      <c r="M11">
        <f>'[4]S4 Datalog + Results'!AO11-'[4]S4 Datalog + Results'!AE11</f>
        <v>2.0006809669731007E-2</v>
      </c>
      <c r="N11">
        <f>'[1]S1 Datalog+Results'!AM11-'[1]S1 Datalog+Results'!AC11</f>
        <v>-328.63124829426806</v>
      </c>
      <c r="O11">
        <f>'[2]S2 Datalog + Results'!AM11-'[2]S2 Datalog + Results'!AC11</f>
        <v>-103.69254824995851</v>
      </c>
      <c r="P11">
        <f>'[3]S3 Datalog + Results'!AM11-'[3]S3 Datalog + Results'!AC11</f>
        <v>572.68610943140334</v>
      </c>
      <c r="Q11">
        <f>'[4]S4 Datalog + Results'!AM11-'[4]S4 Datalog + Results'!AC11</f>
        <v>222.90994400451191</v>
      </c>
      <c r="R11">
        <f>'[1]S1 Datalog+Results'!AK11</f>
        <v>5</v>
      </c>
      <c r="S11">
        <f>'[2]S2 Datalog + Results'!AK11</f>
        <v>6</v>
      </c>
      <c r="T11">
        <f>'[3]S3 Datalog + Results'!AK11</f>
        <v>5</v>
      </c>
      <c r="U11">
        <f>'[4]S4 Datalog + Results'!AK11</f>
        <v>6</v>
      </c>
      <c r="V11">
        <f>'[1]S1 Datalog+Results'!S11</f>
        <v>5</v>
      </c>
      <c r="W11">
        <f>'[2]S2 Datalog + Results'!S11</f>
        <v>7</v>
      </c>
      <c r="X11">
        <f>'[3]S3 Datalog + Results'!S11</f>
        <v>5</v>
      </c>
      <c r="Y11">
        <f>'[4]S4 Datalog + Results'!S11</f>
        <v>7</v>
      </c>
      <c r="Z11">
        <f>'[1]S1 Datalog+Results'!T11-'[1]S1 Datalog+Results'!J11</f>
        <v>-14.182498544319699</v>
      </c>
      <c r="AA11">
        <f>'[2]S2 Datalog + Results'!T11-'[2]S2 Datalog + Results'!J11</f>
        <v>-0.70966125362339483</v>
      </c>
      <c r="AB11">
        <f>'[3]S3 Datalog + Results'!T11-'[3]S3 Datalog + Results'!J11</f>
        <v>11.8873961869444</v>
      </c>
      <c r="AC11">
        <f>'[4]S4 Datalog + Results'!T11-'[4]S4 Datalog + Results'!J11</f>
        <v>-11.348001783863502</v>
      </c>
      <c r="AD11">
        <f>'[1]S1 Datalog+Results'!X11-'[1]S1 Datalog+Results'!N11</f>
        <v>6.7489520258866027E-4</v>
      </c>
      <c r="AE11">
        <f>'[2]S2 Datalog + Results'!X11-'[2]S2 Datalog + Results'!N11</f>
        <v>-2.7191536940446032E-4</v>
      </c>
      <c r="AF11">
        <f>'[3]S3 Datalog + Results'!X11-'[3]S3 Datalog + Results'!N11</f>
        <v>-4.9498214529500317E-5</v>
      </c>
      <c r="AG11">
        <f>'[4]S4 Datalog + Results'!X11-'[4]S4 Datalog + Results'!N11</f>
        <v>7.3177155492311959E-4</v>
      </c>
      <c r="AH11">
        <f>'[1]S1 Datalog+Results'!W11-'[1]S1 Datalog+Results'!M11</f>
        <v>2.9440677966100948E-2</v>
      </c>
      <c r="AI11">
        <f>'[2]S2 Datalog + Results'!W11-'[2]S2 Datalog + Results'!M11</f>
        <v>-6.4362276692989662E-3</v>
      </c>
      <c r="AJ11">
        <f>'[3]S3 Datalog + Results'!W11-'[3]S3 Datalog + Results'!M11</f>
        <v>8.8156648451730935E-2</v>
      </c>
      <c r="AK11">
        <f>'[4]S4 Datalog + Results'!W11-'[4]S4 Datalog + Results'!M11</f>
        <v>-3.892307692307706E-2</v>
      </c>
      <c r="AL11">
        <f>'[1]S1 Datalog+Results'!U11-'[1]S1 Datalog+Results'!K11</f>
        <v>-15.575871925409906</v>
      </c>
      <c r="AM11">
        <f>'[2]S2 Datalog + Results'!U11-'[2]S2 Datalog + Results'!K11</f>
        <v>15.701450926814999</v>
      </c>
      <c r="AN11">
        <f>'[3]S3 Datalog + Results'!U11-'[3]S3 Datalog + Results'!K11</f>
        <v>28.377942939094012</v>
      </c>
      <c r="AO11">
        <f>'[4]S4 Datalog + Results'!U11-'[4]S4 Datalog + Results'!K11</f>
        <v>-18.836039087104499</v>
      </c>
      <c r="AP11">
        <f>'[1]S1 Datalog+Results'!AL11-'[1]S1 Datalog+Results'!AB11</f>
        <v>-211.25518360501604</v>
      </c>
      <c r="AQ11">
        <f>'[2]S2 Datalog + Results'!AL11-'[2]S2 Datalog + Results'!AB11</f>
        <v>-65.752579136516502</v>
      </c>
      <c r="AR11">
        <f>'[3]S3 Datalog + Results'!AL11-'[3]S3 Datalog + Results'!AB11</f>
        <v>385.96411659824389</v>
      </c>
      <c r="AS11">
        <f>'[4]S4 Datalog + Results'!AL11-'[4]S4 Datalog + Results'!AB11</f>
        <v>152.107664771787</v>
      </c>
    </row>
    <row r="12" spans="1:45">
      <c r="A12">
        <v>11</v>
      </c>
      <c r="B12" t="s">
        <v>334</v>
      </c>
      <c r="C12" s="20">
        <f>'[1]S1 Datalog+Results'!AP12-'[1]S1 Datalog+Results'!AF12</f>
        <v>-2.11695987616441E-3</v>
      </c>
      <c r="D12" t="s">
        <v>138</v>
      </c>
      <c r="E12" s="20">
        <f>'[2]S2 Datalog + Results'!AP12-'[2]S2 Datalog + Results'!AF12</f>
        <v>1.2717906196961296E-3</v>
      </c>
      <c r="F12" t="s">
        <v>189</v>
      </c>
      <c r="G12" s="20">
        <f>'[3]S3 Datalog + Results'!AP12-'[3]S3 Datalog + Results'!AF12</f>
        <v>-1.0983658621333998E-3</v>
      </c>
      <c r="H12" t="s">
        <v>156</v>
      </c>
      <c r="I12" s="20">
        <f>'[4]S4 Datalog + Results'!AP12-'[4]S4 Datalog + Results'!AF12</f>
        <v>-2.4885855246490132E-4</v>
      </c>
      <c r="J12">
        <f>'[1]S1 Datalog+Results'!AO12-'[1]S1 Datalog+Results'!AE12</f>
        <v>1.2818785578747938E-2</v>
      </c>
      <c r="K12">
        <f>'[2]S2 Datalog + Results'!AO12-'[2]S2 Datalog + Results'!AE12</f>
        <v>4.090909090909195E-2</v>
      </c>
      <c r="L12">
        <f>'[3]S3 Datalog + Results'!AO12-'[3]S3 Datalog + Results'!AE12</f>
        <v>5.3927889713680011E-2</v>
      </c>
      <c r="M12">
        <f>'[4]S4 Datalog + Results'!AO12-'[4]S4 Datalog + Results'!AE12</f>
        <v>-8.43133640553001E-3</v>
      </c>
      <c r="N12">
        <f>'[1]S1 Datalog+Results'!AM12-'[1]S1 Datalog+Results'!AC12</f>
        <v>666.993424683802</v>
      </c>
      <c r="O12">
        <f>'[2]S2 Datalog + Results'!AM12-'[2]S2 Datalog + Results'!AC12</f>
        <v>-66.711776745109802</v>
      </c>
      <c r="P12">
        <f>'[3]S3 Datalog + Results'!AM12-'[3]S3 Datalog + Results'!AC12</f>
        <v>-43.330893334170398</v>
      </c>
      <c r="Q12">
        <f>'[4]S4 Datalog + Results'!AM12-'[4]S4 Datalog + Results'!AC12</f>
        <v>-53.478998556592998</v>
      </c>
      <c r="R12">
        <f>'[1]S1 Datalog+Results'!AK12</f>
        <v>4</v>
      </c>
      <c r="S12">
        <f>'[2]S2 Datalog + Results'!AK12</f>
        <v>4</v>
      </c>
      <c r="T12">
        <f>'[3]S3 Datalog + Results'!AK12</f>
        <v>4</v>
      </c>
      <c r="U12">
        <f>'[4]S4 Datalog + Results'!AK12</f>
        <v>5</v>
      </c>
      <c r="V12">
        <f>'[1]S1 Datalog+Results'!S12</f>
        <v>5</v>
      </c>
      <c r="W12">
        <f>'[2]S2 Datalog + Results'!S12</f>
        <v>5</v>
      </c>
      <c r="X12">
        <f>'[3]S3 Datalog + Results'!S12</f>
        <v>5</v>
      </c>
      <c r="Y12">
        <f>'[4]S4 Datalog + Results'!S12</f>
        <v>5</v>
      </c>
      <c r="Z12">
        <f>'[1]S1 Datalog+Results'!T12-'[1]S1 Datalog+Results'!J12</f>
        <v>-0.43970850166370212</v>
      </c>
      <c r="AA12">
        <f>'[2]S2 Datalog + Results'!T12-'[2]S2 Datalog + Results'!J12</f>
        <v>-8.2623641453069965</v>
      </c>
      <c r="AB12">
        <f>'[3]S3 Datalog + Results'!T12-'[3]S3 Datalog + Results'!J12</f>
        <v>145.53930433138396</v>
      </c>
      <c r="AC12">
        <f>'[4]S4 Datalog + Results'!T12-'[4]S4 Datalog + Results'!J12</f>
        <v>-178.190102090501</v>
      </c>
      <c r="AD12">
        <f>'[1]S1 Datalog+Results'!X12-'[1]S1 Datalog+Results'!N12</f>
        <v>8.4985713610793989E-4</v>
      </c>
      <c r="AE12">
        <f>'[2]S2 Datalog + Results'!X12-'[2]S2 Datalog + Results'!N12</f>
        <v>-1.6356456304171593E-3</v>
      </c>
      <c r="AF12">
        <f>'[3]S3 Datalog + Results'!X12-'[3]S3 Datalog + Results'!N12</f>
        <v>7.236777401195011E-4</v>
      </c>
      <c r="AG12">
        <f>'[4]S4 Datalog + Results'!X12-'[4]S4 Datalog + Results'!N12</f>
        <v>1.5831809642992013E-3</v>
      </c>
      <c r="AH12">
        <f>'[1]S1 Datalog+Results'!W12-'[1]S1 Datalog+Results'!M12</f>
        <v>-4.2131763386600019E-2</v>
      </c>
      <c r="AI12">
        <f>'[2]S2 Datalog + Results'!W12-'[2]S2 Datalog + Results'!M12</f>
        <v>3.2945033751199948E-3</v>
      </c>
      <c r="AJ12">
        <f>'[3]S3 Datalog + Results'!W12-'[3]S3 Datalog + Results'!M12</f>
        <v>-2.0322525304500294E-3</v>
      </c>
      <c r="AK12">
        <f>'[4]S4 Datalog + Results'!W12-'[4]S4 Datalog + Results'!M12</f>
        <v>-2.5532956685498986E-2</v>
      </c>
      <c r="AL12">
        <f>'[1]S1 Datalog+Results'!U12-'[1]S1 Datalog+Results'!K12</f>
        <v>-31.403810044038693</v>
      </c>
      <c r="AM12">
        <f>'[2]S2 Datalog + Results'!U12-'[2]S2 Datalog + Results'!K12</f>
        <v>-22.133377034082603</v>
      </c>
      <c r="AN12">
        <f>'[3]S3 Datalog + Results'!U12-'[3]S3 Datalog + Results'!K12</f>
        <v>197.07498855182499</v>
      </c>
      <c r="AO12">
        <f>'[4]S4 Datalog + Results'!U12-'[4]S4 Datalog + Results'!K12</f>
        <v>-242.18774488280002</v>
      </c>
      <c r="AP12">
        <f>'[1]S1 Datalog+Results'!AL12-'[1]S1 Datalog+Results'!AB12</f>
        <v>-418.71033009975508</v>
      </c>
      <c r="AQ12">
        <f>'[2]S2 Datalog + Results'!AL12-'[2]S2 Datalog + Results'!AB12</f>
        <v>-43.644450427625408</v>
      </c>
      <c r="AR12">
        <f>'[3]S3 Datalog + Results'!AL12-'[3]S3 Datalog + Results'!AB12</f>
        <v>-41.872176423823497</v>
      </c>
      <c r="AS12">
        <f>'[4]S4 Datalog + Results'!AL12-'[4]S4 Datalog + Results'!AB12</f>
        <v>-70.418767451542408</v>
      </c>
    </row>
    <row r="13" spans="1:45">
      <c r="A13">
        <v>12</v>
      </c>
      <c r="B13" t="s">
        <v>189</v>
      </c>
      <c r="C13" s="20">
        <f>'[1]S1 Datalog+Results'!AP13-'[1]S1 Datalog+Results'!AF13</f>
        <v>2.1117298608589012E-3</v>
      </c>
      <c r="D13" t="s">
        <v>156</v>
      </c>
      <c r="E13" s="20">
        <f>'[2]S2 Datalog + Results'!AP13-'[2]S2 Datalog + Results'!AF13</f>
        <v>3.3536983945579996E-3</v>
      </c>
      <c r="F13" t="s">
        <v>138</v>
      </c>
      <c r="G13" s="20">
        <f>'[3]S3 Datalog + Results'!AP13-'[3]S3 Datalog + Results'!AF13</f>
        <v>-5.7562789173230128E-4</v>
      </c>
      <c r="H13" t="s">
        <v>119</v>
      </c>
      <c r="I13" s="20">
        <f>'[4]S4 Datalog + Results'!AP13-'[4]S4 Datalog + Results'!AF13</f>
        <v>5.1392291638176005E-3</v>
      </c>
      <c r="J13">
        <f>'[1]S1 Datalog+Results'!AO13-'[1]S1 Datalog+Results'!AE13</f>
        <v>4.1346798780489025E-2</v>
      </c>
      <c r="K13">
        <f>'[2]S2 Datalog + Results'!AO13-'[2]S2 Datalog + Results'!AE13</f>
        <v>-9.3080952380951987E-2</v>
      </c>
      <c r="L13">
        <f>'[3]S3 Datalog + Results'!AO13-'[3]S3 Datalog + Results'!AE13</f>
        <v>-5.6804591836734919E-2</v>
      </c>
      <c r="M13">
        <f>'[4]S4 Datalog + Results'!AO13-'[4]S4 Datalog + Results'!AE13</f>
        <v>-1.7004288164665926E-2</v>
      </c>
      <c r="N13">
        <f>'[1]S1 Datalog+Results'!AM13-'[1]S1 Datalog+Results'!AC13</f>
        <v>-270.45633863247099</v>
      </c>
      <c r="O13">
        <f>'[2]S2 Datalog + Results'!AM13-'[2]S2 Datalog + Results'!AC13</f>
        <v>16.423536637068494</v>
      </c>
      <c r="P13">
        <f>'[3]S3 Datalog + Results'!AM13-'[3]S3 Datalog + Results'!AC13</f>
        <v>120.853295310231</v>
      </c>
      <c r="Q13">
        <f>'[4]S4 Datalog + Results'!AM13-'[4]S4 Datalog + Results'!AC13</f>
        <v>346.83431656014898</v>
      </c>
      <c r="R13">
        <f>'[1]S1 Datalog+Results'!AK13</f>
        <v>6</v>
      </c>
      <c r="S13">
        <f>'[2]S2 Datalog + Results'!AK13</f>
        <v>7</v>
      </c>
      <c r="T13">
        <f>'[3]S3 Datalog + Results'!AK13</f>
        <v>7</v>
      </c>
      <c r="U13">
        <f>'[4]S4 Datalog + Results'!AK13</f>
        <v>5</v>
      </c>
      <c r="V13">
        <f>'[1]S1 Datalog+Results'!S13</f>
        <v>2</v>
      </c>
      <c r="W13">
        <f>'[2]S2 Datalog + Results'!S13</f>
        <v>7</v>
      </c>
      <c r="X13">
        <f>'[3]S3 Datalog + Results'!S13</f>
        <v>7</v>
      </c>
      <c r="Y13">
        <f>'[4]S4 Datalog + Results'!S13</f>
        <v>7</v>
      </c>
      <c r="Z13">
        <f>'[1]S1 Datalog+Results'!T13-'[1]S1 Datalog+Results'!J13</f>
        <v>627.85149063594713</v>
      </c>
      <c r="AA13">
        <f>'[2]S2 Datalog + Results'!T13-'[2]S2 Datalog + Results'!J13</f>
        <v>-66.261620655267194</v>
      </c>
      <c r="AB13">
        <f>'[3]S3 Datalog + Results'!T13-'[3]S3 Datalog + Results'!J13</f>
        <v>28.739273373306801</v>
      </c>
      <c r="AC13">
        <f>'[4]S4 Datalog + Results'!T13-'[4]S4 Datalog + Results'!J13</f>
        <v>66.029036577652192</v>
      </c>
      <c r="AD13">
        <f>'[1]S1 Datalog+Results'!X13-'[1]S1 Datalog+Results'!N13</f>
        <v>5.6178053334514991E-3</v>
      </c>
      <c r="AE13">
        <f>'[2]S2 Datalog + Results'!X13-'[2]S2 Datalog + Results'!N13</f>
        <v>3.8430426737483016E-3</v>
      </c>
      <c r="AF13">
        <f>'[3]S3 Datalog + Results'!X13-'[3]S3 Datalog + Results'!N13</f>
        <v>2.7209142836848998E-3</v>
      </c>
      <c r="AG13">
        <f>'[4]S4 Datalog + Results'!X13-'[4]S4 Datalog + Results'!N13</f>
        <v>1.0972878608702975E-3</v>
      </c>
      <c r="AH13">
        <f>'[1]S1 Datalog+Results'!W13-'[1]S1 Datalog+Results'!M13</f>
        <v>-3.778730158730198E-2</v>
      </c>
      <c r="AI13">
        <f>'[2]S2 Datalog + Results'!W13-'[2]S2 Datalog + Results'!M13</f>
        <v>-9.6431784107939844E-3</v>
      </c>
      <c r="AJ13">
        <f>'[3]S3 Datalog + Results'!W13-'[3]S3 Datalog + Results'!M13</f>
        <v>2.7588927137119024E-2</v>
      </c>
      <c r="AK13">
        <f>'[4]S4 Datalog + Results'!W13-'[4]S4 Datalog + Results'!M13</f>
        <v>3.3794835007169288E-3</v>
      </c>
      <c r="AL13">
        <f>'[1]S1 Datalog+Results'!U13-'[1]S1 Datalog+Results'!K13</f>
        <v>634.91530606885715</v>
      </c>
      <c r="AM13">
        <f>'[2]S2 Datalog + Results'!U13-'[2]S2 Datalog + Results'!K13</f>
        <v>-98.213022835221011</v>
      </c>
      <c r="AN13">
        <f>'[3]S3 Datalog + Results'!U13-'[3]S3 Datalog + Results'!K13</f>
        <v>20.748621015918602</v>
      </c>
      <c r="AO13">
        <f>'[4]S4 Datalog + Results'!U13-'[4]S4 Datalog + Results'!K13</f>
        <v>102.0892092276687</v>
      </c>
      <c r="AP13">
        <f>'[1]S1 Datalog+Results'!AL13-'[1]S1 Datalog+Results'!AB13</f>
        <v>-122.35704601762401</v>
      </c>
      <c r="AQ13">
        <f>'[2]S2 Datalog + Results'!AL13-'[2]S2 Datalog + Results'!AB13</f>
        <v>-1.016339928842811</v>
      </c>
      <c r="AR13">
        <f>'[3]S3 Datalog + Results'!AL13-'[3]S3 Datalog + Results'!AB13</f>
        <v>111.703445517435</v>
      </c>
      <c r="AS13">
        <f>'[4]S4 Datalog + Results'!AL13-'[4]S4 Datalog + Results'!AB13</f>
        <v>262.93823481308704</v>
      </c>
    </row>
    <row r="14" spans="1:45">
      <c r="A14">
        <v>13</v>
      </c>
      <c r="B14" t="s">
        <v>156</v>
      </c>
      <c r="C14" s="20">
        <f>'[1]S1 Datalog+Results'!AP14-'[1]S1 Datalog+Results'!AF14</f>
        <v>-5.3813803817200079E-5</v>
      </c>
      <c r="D14" t="s">
        <v>189</v>
      </c>
      <c r="E14" s="20">
        <f>'[2]S2 Datalog + Results'!AP14-'[2]S2 Datalog + Results'!AF14</f>
        <v>1.3592357409581996E-3</v>
      </c>
      <c r="F14" t="s">
        <v>138</v>
      </c>
      <c r="G14" s="20">
        <f>'[3]S3 Datalog + Results'!AP14-'[3]S3 Datalog + Results'!AF14</f>
        <v>-1.9612615091899738E-5</v>
      </c>
      <c r="H14" t="s">
        <v>334</v>
      </c>
      <c r="I14" s="20">
        <f>'[4]S4 Datalog + Results'!AP14-'[4]S4 Datalog + Results'!AF14</f>
        <v>4.6929892268060026E-4</v>
      </c>
      <c r="J14">
        <f>'[1]S1 Datalog+Results'!AO14-'[1]S1 Datalog+Results'!AE14</f>
        <v>-1.3796825396826973E-2</v>
      </c>
      <c r="K14">
        <f>'[2]S2 Datalog + Results'!AO14-'[2]S2 Datalog + Results'!AE14</f>
        <v>1.7110115236876E-2</v>
      </c>
      <c r="L14">
        <f>'[3]S3 Datalog + Results'!AO14-'[3]S3 Datalog + Results'!AE14</f>
        <v>1.2846889952140006E-3</v>
      </c>
      <c r="M14">
        <f>'[4]S4 Datalog + Results'!AO14-'[4]S4 Datalog + Results'!AE14</f>
        <v>-7.0391393442624017E-2</v>
      </c>
      <c r="N14">
        <f>'[1]S1 Datalog+Results'!AM14-'[1]S1 Datalog+Results'!AC14</f>
        <v>1.9379688462565987</v>
      </c>
      <c r="O14">
        <f>'[2]S2 Datalog + Results'!AM14-'[2]S2 Datalog + Results'!AC14</f>
        <v>-6.3979087283230953</v>
      </c>
      <c r="P14">
        <f>'[3]S3 Datalog + Results'!AM14-'[3]S3 Datalog + Results'!AC14</f>
        <v>20.5866873526994</v>
      </c>
      <c r="Q14">
        <f>'[4]S4 Datalog + Results'!AM14-'[4]S4 Datalog + Results'!AC14</f>
        <v>612.19259475983245</v>
      </c>
      <c r="R14">
        <f>'[1]S1 Datalog+Results'!AK14</f>
        <v>6</v>
      </c>
      <c r="S14">
        <f>'[2]S2 Datalog + Results'!AK14</f>
        <v>6</v>
      </c>
      <c r="T14">
        <f>'[3]S3 Datalog + Results'!AK14</f>
        <v>6</v>
      </c>
      <c r="U14">
        <f>'[4]S4 Datalog + Results'!AK14</f>
        <v>6</v>
      </c>
      <c r="V14">
        <f>'[1]S1 Datalog+Results'!S14</f>
        <v>7</v>
      </c>
      <c r="W14">
        <f>'[2]S2 Datalog + Results'!S14</f>
        <v>7</v>
      </c>
      <c r="X14">
        <f>'[3]S3 Datalog + Results'!S14</f>
        <v>7</v>
      </c>
      <c r="Y14">
        <f>'[4]S4 Datalog + Results'!S14</f>
        <v>8</v>
      </c>
      <c r="Z14">
        <f>'[1]S1 Datalog+Results'!T14-'[1]S1 Datalog+Results'!J14</f>
        <v>511.82887765345902</v>
      </c>
      <c r="AA14">
        <f>'[2]S2 Datalog + Results'!T14-'[2]S2 Datalog + Results'!J14</f>
        <v>-14.903580554351294</v>
      </c>
      <c r="AB14">
        <f>'[3]S3 Datalog + Results'!T14-'[3]S3 Datalog + Results'!J14</f>
        <v>-10.091385530115197</v>
      </c>
      <c r="AC14">
        <f>'[4]S4 Datalog + Results'!T14-'[4]S4 Datalog + Results'!J14</f>
        <v>-30.345461226940301</v>
      </c>
      <c r="AD14">
        <f>'[1]S1 Datalog+Results'!X14-'[1]S1 Datalog+Results'!N14</f>
        <v>-1.8931937873373997E-3</v>
      </c>
      <c r="AE14">
        <f>'[2]S2 Datalog + Results'!X14-'[2]S2 Datalog + Results'!N14</f>
        <v>6.5201811430480074E-4</v>
      </c>
      <c r="AF14">
        <f>'[3]S3 Datalog + Results'!X14-'[3]S3 Datalog + Results'!N14</f>
        <v>5.4989495933050088E-4</v>
      </c>
      <c r="AG14">
        <f>'[4]S4 Datalog + Results'!X14-'[4]S4 Datalog + Results'!N14</f>
        <v>3.5433211446830003E-3</v>
      </c>
      <c r="AH14">
        <f>'[1]S1 Datalog+Results'!W14-'[1]S1 Datalog+Results'!M14</f>
        <v>4.1357099540869635E-3</v>
      </c>
      <c r="AI14">
        <f>'[2]S2 Datalog + Results'!W14-'[2]S2 Datalog + Results'!M14</f>
        <v>-6.6746867167918E-2</v>
      </c>
      <c r="AJ14">
        <f>'[3]S3 Datalog + Results'!W14-'[3]S3 Datalog + Results'!M14</f>
        <v>-2.1863354037267024E-2</v>
      </c>
      <c r="AK14">
        <f>'[4]S4 Datalog + Results'!W14-'[4]S4 Datalog + Results'!M14</f>
        <v>-2.7311111111111008E-2</v>
      </c>
      <c r="AL14">
        <f>'[1]S1 Datalog+Results'!U14-'[1]S1 Datalog+Results'!K14</f>
        <v>518.03571305461196</v>
      </c>
      <c r="AM14">
        <f>'[2]S2 Datalog + Results'!U14-'[2]S2 Datalog + Results'!K14</f>
        <v>-26.248042240189193</v>
      </c>
      <c r="AN14">
        <f>'[3]S3 Datalog + Results'!U14-'[3]S3 Datalog + Results'!K14</f>
        <v>21.077605431633902</v>
      </c>
      <c r="AO14">
        <f>'[4]S4 Datalog + Results'!U14-'[4]S4 Datalog + Results'!K14</f>
        <v>-41.247403754580503</v>
      </c>
      <c r="AP14">
        <f>'[1]S1 Datalog+Results'!AL14-'[1]S1 Datalog+Results'!AB14</f>
        <v>-10.617089339370395</v>
      </c>
      <c r="AQ14">
        <f>'[2]S2 Datalog + Results'!AL14-'[2]S2 Datalog + Results'!AB14</f>
        <v>0.72756012731009889</v>
      </c>
      <c r="AR14">
        <f>'[3]S3 Datalog + Results'!AL14-'[3]S3 Datalog + Results'!AB14</f>
        <v>28.68084115672589</v>
      </c>
      <c r="AS14">
        <f>'[4]S4 Datalog + Results'!AL14-'[4]S4 Datalog + Results'!AB14</f>
        <v>304.94432725985666</v>
      </c>
    </row>
    <row r="15" spans="1:45">
      <c r="A15">
        <v>14</v>
      </c>
      <c r="B15" t="s">
        <v>138</v>
      </c>
      <c r="C15" s="20">
        <f>'[1]S1 Datalog+Results'!AP15-'[1]S1 Datalog+Results'!AF15</f>
        <v>-5.0446581336520066E-4</v>
      </c>
      <c r="D15" t="s">
        <v>119</v>
      </c>
      <c r="E15" s="20">
        <f>'[2]S2 Datalog + Results'!AP15-'[2]S2 Datalog + Results'!AF15</f>
        <v>-1.4396657656115999E-3</v>
      </c>
      <c r="F15" t="s">
        <v>189</v>
      </c>
      <c r="G15" s="20">
        <f>'[3]S3 Datalog + Results'!AP15-'[3]S3 Datalog + Results'!AF15</f>
        <v>-1.0216300525006002E-3</v>
      </c>
      <c r="H15" t="s">
        <v>156</v>
      </c>
      <c r="I15" s="20">
        <f>'[4]S4 Datalog + Results'!AP15-'[4]S4 Datalog + Results'!AF15</f>
        <v>-2.5046244502330999E-4</v>
      </c>
      <c r="J15">
        <f>'[1]S1 Datalog+Results'!AO15-'[1]S1 Datalog+Results'!AE15</f>
        <v>-5.0681818181810279E-3</v>
      </c>
      <c r="K15">
        <f>'[2]S2 Datalog + Results'!AO15-'[2]S2 Datalog + Results'!AE15</f>
        <v>-4.9291236591781973E-2</v>
      </c>
      <c r="L15">
        <f>'[3]S3 Datalog + Results'!AO15-'[3]S3 Datalog + Results'!AE15</f>
        <v>-5.2661361626880066E-3</v>
      </c>
      <c r="M15">
        <f>'[4]S4 Datalog + Results'!AO15-'[4]S4 Datalog + Results'!AE15</f>
        <v>3.0163852407754932E-2</v>
      </c>
      <c r="N15">
        <f>'[1]S1 Datalog+Results'!AM15-'[1]S1 Datalog+Results'!AC15</f>
        <v>17.389117927448993</v>
      </c>
      <c r="O15">
        <f>'[2]S2 Datalog + Results'!AM15-'[2]S2 Datalog + Results'!AC15</f>
        <v>-52.96381769066781</v>
      </c>
      <c r="P15">
        <f>'[3]S3 Datalog + Results'!AM15-'[3]S3 Datalog + Results'!AC15</f>
        <v>-116.0431570878811</v>
      </c>
      <c r="Q15">
        <f>'[4]S4 Datalog + Results'!AM15-'[4]S4 Datalog + Results'!AC15</f>
        <v>-24.851015129931895</v>
      </c>
      <c r="R15">
        <f>'[1]S1 Datalog+Results'!AK15</f>
        <v>5</v>
      </c>
      <c r="S15">
        <f>'[2]S2 Datalog + Results'!AK15</f>
        <v>7</v>
      </c>
      <c r="T15">
        <f>'[3]S3 Datalog + Results'!AK15</f>
        <v>7</v>
      </c>
      <c r="U15">
        <f>'[4]S4 Datalog + Results'!AK15</f>
        <v>7</v>
      </c>
      <c r="V15">
        <f>'[1]S1 Datalog+Results'!S15</f>
        <v>7</v>
      </c>
      <c r="W15">
        <f>'[2]S2 Datalog + Results'!S15</f>
        <v>6</v>
      </c>
      <c r="X15">
        <f>'[3]S3 Datalog + Results'!S15</f>
        <v>6</v>
      </c>
      <c r="Y15">
        <f>'[4]S4 Datalog + Results'!S15</f>
        <v>7</v>
      </c>
      <c r="Z15">
        <f>'[1]S1 Datalog+Results'!T15-'[1]S1 Datalog+Results'!J15</f>
        <v>-51.757841476891883</v>
      </c>
      <c r="AA15">
        <f>'[2]S2 Datalog + Results'!T15-'[2]S2 Datalog + Results'!J15</f>
        <v>1.3940337357637986</v>
      </c>
      <c r="AB15">
        <f>'[3]S3 Datalog + Results'!T15-'[3]S3 Datalog + Results'!J15</f>
        <v>-153.02879081499989</v>
      </c>
      <c r="AC15">
        <f>'[4]S4 Datalog + Results'!T15-'[4]S4 Datalog + Results'!J15</f>
        <v>-6.7630502474511971</v>
      </c>
      <c r="AD15">
        <f>'[1]S1 Datalog+Results'!X15-'[1]S1 Datalog+Results'!N15</f>
        <v>-2.1415216934825197E-2</v>
      </c>
      <c r="AE15">
        <f>'[2]S2 Datalog + Results'!X15-'[2]S2 Datalog + Results'!N15</f>
        <v>3.4996107183140005E-3</v>
      </c>
      <c r="AF15">
        <f>'[3]S3 Datalog + Results'!X15-'[3]S3 Datalog + Results'!N15</f>
        <v>-0.5465099204246614</v>
      </c>
      <c r="AG15">
        <f>'[4]S4 Datalog + Results'!X15-'[4]S4 Datalog + Results'!N15</f>
        <v>-8.5501146127940023E-5</v>
      </c>
      <c r="AH15">
        <f>'[1]S1 Datalog+Results'!W15-'[1]S1 Datalog+Results'!M15</f>
        <v>-4.4760312151616022E-2</v>
      </c>
      <c r="AI15">
        <f>'[2]S2 Datalog + Results'!W15-'[2]S2 Datalog + Results'!M15</f>
        <v>8.7195555555557025E-2</v>
      </c>
      <c r="AJ15">
        <f>'[3]S3 Datalog + Results'!W15-'[3]S3 Datalog + Results'!M15</f>
        <v>0.15391566265060197</v>
      </c>
      <c r="AK15">
        <f>'[4]S4 Datalog + Results'!W15-'[4]S4 Datalog + Results'!M15</f>
        <v>-1.7895109395109021E-2</v>
      </c>
      <c r="AL15">
        <f>'[1]S1 Datalog+Results'!U15-'[1]S1 Datalog+Results'!K15</f>
        <v>-40.601086418870494</v>
      </c>
      <c r="AM15">
        <f>'[2]S2 Datalog + Results'!U15-'[2]S2 Datalog + Results'!K15</f>
        <v>3.3202569448688024</v>
      </c>
      <c r="AN15">
        <f>'[3]S3 Datalog + Results'!U15-'[3]S3 Datalog + Results'!K15</f>
        <v>-151.4125639129839</v>
      </c>
      <c r="AO15">
        <f>'[4]S4 Datalog + Results'!U15-'[4]S4 Datalog + Results'!K15</f>
        <v>5.7439554156672017</v>
      </c>
      <c r="AP15">
        <f>'[1]S1 Datalog+Results'!AL15-'[1]S1 Datalog+Results'!AB15</f>
        <v>-12.731708650583002</v>
      </c>
      <c r="AQ15">
        <f>'[2]S2 Datalog + Results'!AL15-'[2]S2 Datalog + Results'!AB15</f>
        <v>-12.714571350145008</v>
      </c>
      <c r="AR15">
        <f>'[3]S3 Datalog + Results'!AL15-'[3]S3 Datalog + Results'!AB15</f>
        <v>-68.65111523711019</v>
      </c>
      <c r="AS15">
        <f>'[4]S4 Datalog + Results'!AL15-'[4]S4 Datalog + Results'!AB15</f>
        <v>-18.159006977645795</v>
      </c>
    </row>
    <row r="16" spans="1:45">
      <c r="A16">
        <v>15</v>
      </c>
      <c r="B16" t="s">
        <v>189</v>
      </c>
      <c r="C16" s="20">
        <f>'[1]S1 Datalog+Results'!AP16-'[1]S1 Datalog+Results'!AF16</f>
        <v>2.1248523610333993E-3</v>
      </c>
      <c r="D16" t="s">
        <v>138</v>
      </c>
      <c r="E16" s="20">
        <f>'[2]S2 Datalog + Results'!AP16-'[2]S2 Datalog + Results'!AF16</f>
        <v>-1.0892240366090072E-4</v>
      </c>
      <c r="F16" t="s">
        <v>119</v>
      </c>
      <c r="G16" s="20">
        <f>'[3]S3 Datalog + Results'!AP16-'[3]S3 Datalog + Results'!AF16</f>
        <v>-1.0785648726197999E-3</v>
      </c>
      <c r="H16" t="s">
        <v>156</v>
      </c>
      <c r="I16" s="20">
        <f>'[4]S4 Datalog + Results'!AP16-'[4]S4 Datalog + Results'!AF16</f>
        <v>4.1143720633560026E-4</v>
      </c>
      <c r="J16">
        <f>'[1]S1 Datalog+Results'!AO16-'[1]S1 Datalog+Results'!AE16</f>
        <v>-0.104845763164929</v>
      </c>
      <c r="K16">
        <f>'[2]S2 Datalog + Results'!AO16-'[2]S2 Datalog + Results'!AE16</f>
        <v>-3.6064739157762982E-2</v>
      </c>
      <c r="L16">
        <f>'[3]S3 Datalog + Results'!AO16-'[3]S3 Datalog + Results'!AE16</f>
        <v>-3.7713636363637004E-2</v>
      </c>
      <c r="M16">
        <f>'[4]S4 Datalog + Results'!AO16-'[4]S4 Datalog + Results'!AE16</f>
        <v>4.9177777777777043E-2</v>
      </c>
      <c r="N16">
        <f>'[1]S1 Datalog+Results'!AM16-'[1]S1 Datalog+Results'!AC16</f>
        <v>-20.956748781468896</v>
      </c>
      <c r="O16">
        <f>'[2]S2 Datalog + Results'!AM16-'[2]S2 Datalog + Results'!AC16</f>
        <v>-18.18565059614231</v>
      </c>
      <c r="P16">
        <f>'[3]S3 Datalog + Results'!AM16-'[3]S3 Datalog + Results'!AC16</f>
        <v>-34.433507105479499</v>
      </c>
      <c r="Q16">
        <f>'[4]S4 Datalog + Results'!AM16-'[4]S4 Datalog + Results'!AC16</f>
        <v>37.029782780666707</v>
      </c>
      <c r="R16">
        <f>'[1]S1 Datalog+Results'!AK16</f>
        <v>7</v>
      </c>
      <c r="S16">
        <f>'[2]S2 Datalog + Results'!AK16</f>
        <v>6</v>
      </c>
      <c r="T16">
        <f>'[3]S3 Datalog + Results'!AK16</f>
        <v>6</v>
      </c>
      <c r="U16">
        <f>'[4]S4 Datalog + Results'!AK16</f>
        <v>6</v>
      </c>
      <c r="V16">
        <f>'[1]S1 Datalog+Results'!S16</f>
        <v>7</v>
      </c>
      <c r="W16">
        <f>'[2]S2 Datalog + Results'!S16</f>
        <v>7</v>
      </c>
      <c r="X16">
        <f>'[3]S3 Datalog + Results'!S16</f>
        <v>7</v>
      </c>
      <c r="Y16">
        <f>'[4]S4 Datalog + Results'!S16</f>
        <v>7</v>
      </c>
      <c r="Z16">
        <f>'[1]S1 Datalog+Results'!T16-'[1]S1 Datalog+Results'!J16</f>
        <v>40.939464730457409</v>
      </c>
      <c r="AA16">
        <f>'[2]S2 Datalog + Results'!T16-'[2]S2 Datalog + Results'!J16</f>
        <v>-12.002479335627797</v>
      </c>
      <c r="AB16">
        <f>'[3]S3 Datalog + Results'!T16-'[3]S3 Datalog + Results'!J16</f>
        <v>-19.076711671020007</v>
      </c>
      <c r="AC16">
        <f>'[4]S4 Datalog + Results'!T16-'[4]S4 Datalog + Results'!J16</f>
        <v>-29.749545855941889</v>
      </c>
      <c r="AD16">
        <f>'[1]S1 Datalog+Results'!X16-'[1]S1 Datalog+Results'!N16</f>
        <v>2.9736385283197012E-3</v>
      </c>
      <c r="AE16">
        <f>'[2]S2 Datalog + Results'!X16-'[2]S2 Datalog + Results'!N16</f>
        <v>-3.4718556822954896E-2</v>
      </c>
      <c r="AF16">
        <f>'[3]S3 Datalog + Results'!X16-'[3]S3 Datalog + Results'!N16</f>
        <v>2.3063780199487002E-3</v>
      </c>
      <c r="AG16">
        <f>'[4]S4 Datalog + Results'!X16-'[4]S4 Datalog + Results'!N16</f>
        <v>-1.9890335961734E-3</v>
      </c>
      <c r="AH16">
        <f>'[1]S1 Datalog+Results'!W16-'[1]S1 Datalog+Results'!M16</f>
        <v>4.7537799972250383E-3</v>
      </c>
      <c r="AI16">
        <f>'[2]S2 Datalog + Results'!W16-'[2]S2 Datalog + Results'!M16</f>
        <v>-9.922471190780896E-2</v>
      </c>
      <c r="AJ16">
        <f>'[3]S3 Datalog + Results'!W16-'[3]S3 Datalog + Results'!M16</f>
        <v>-2.6271170610211003E-2</v>
      </c>
      <c r="AK16">
        <f>'[4]S4 Datalog + Results'!W16-'[4]S4 Datalog + Results'!M16</f>
        <v>-4.2646844027125985E-2</v>
      </c>
      <c r="AL16">
        <f>'[1]S1 Datalog+Results'!U16-'[1]S1 Datalog+Results'!K16</f>
        <v>-0.74040212260850069</v>
      </c>
      <c r="AM16">
        <f>'[2]S2 Datalog + Results'!U16-'[2]S2 Datalog + Results'!K16</f>
        <v>12.515675633282896</v>
      </c>
      <c r="AN16">
        <f>'[3]S3 Datalog + Results'!U16-'[3]S3 Datalog + Results'!K16</f>
        <v>-6.5531154000084939</v>
      </c>
      <c r="AO16">
        <f>'[4]S4 Datalog + Results'!U16-'[4]S4 Datalog + Results'!K16</f>
        <v>10.656681866420698</v>
      </c>
      <c r="AP16">
        <f>'[1]S1 Datalog+Results'!AL16-'[1]S1 Datalog+Results'!AB16</f>
        <v>-13.288646980052505</v>
      </c>
      <c r="AQ16">
        <f>'[2]S2 Datalog + Results'!AL16-'[2]S2 Datalog + Results'!AB16</f>
        <v>-27.366675142261286</v>
      </c>
      <c r="AR16">
        <f>'[3]S3 Datalog + Results'!AL16-'[3]S3 Datalog + Results'!AB16</f>
        <v>-33.402286379982101</v>
      </c>
      <c r="AS16">
        <f>'[4]S4 Datalog + Results'!AL16-'[4]S4 Datalog + Results'!AB16</f>
        <v>-6.5117587672379926</v>
      </c>
    </row>
    <row r="17" spans="1:45">
      <c r="A17">
        <v>16</v>
      </c>
      <c r="B17" t="s">
        <v>334</v>
      </c>
      <c r="C17" s="20">
        <f>'[1]S1 Datalog+Results'!AP17-'[1]S1 Datalog+Results'!AF17</f>
        <v>3.3447919937537995E-3</v>
      </c>
      <c r="D17" t="s">
        <v>189</v>
      </c>
      <c r="E17" s="20">
        <f>'[2]S2 Datalog + Results'!AP17-'[2]S2 Datalog + Results'!AF17</f>
        <v>1.9146120717684206E-3</v>
      </c>
      <c r="F17" t="s">
        <v>156</v>
      </c>
      <c r="G17" s="20">
        <f>'[3]S3 Datalog + Results'!AP17-'[3]S3 Datalog + Results'!AF17</f>
        <v>6.0563077675620039E-4</v>
      </c>
      <c r="H17" t="s">
        <v>138</v>
      </c>
      <c r="I17" s="20">
        <f>'[4]S4 Datalog + Results'!AP17-'[4]S4 Datalog + Results'!AF17</f>
        <v>-2.5792177259411995E-3</v>
      </c>
      <c r="J17">
        <f>'[1]S1 Datalog+Results'!AO17-'[1]S1 Datalog+Results'!AE17</f>
        <v>-1.1263858093126022E-2</v>
      </c>
      <c r="K17">
        <f>'[2]S2 Datalog + Results'!AO17-'[2]S2 Datalog + Results'!AE17</f>
        <v>-4.2765517241379003E-2</v>
      </c>
      <c r="L17">
        <f>'[3]S3 Datalog + Results'!AO17-'[3]S3 Datalog + Results'!AE17</f>
        <v>-4.282381197461993E-3</v>
      </c>
      <c r="M17">
        <f>'[4]S4 Datalog + Results'!AO17-'[4]S4 Datalog + Results'!AE17</f>
        <v>6.1499999999999E-2</v>
      </c>
      <c r="N17">
        <f>'[1]S1 Datalog+Results'!AM17-'[1]S1 Datalog+Results'!AC17</f>
        <v>19.315024470749396</v>
      </c>
      <c r="O17">
        <f>'[2]S2 Datalog + Results'!AM17-'[2]S2 Datalog + Results'!AC17</f>
        <v>262.01476246178839</v>
      </c>
      <c r="P17">
        <f>'[3]S3 Datalog + Results'!AM17-'[3]S3 Datalog + Results'!AC17</f>
        <v>-3.5427852236900037E-2</v>
      </c>
      <c r="Q17">
        <f>'[4]S4 Datalog + Results'!AM17-'[4]S4 Datalog + Results'!AC17</f>
        <v>-771.63699802099688</v>
      </c>
      <c r="R17">
        <f>'[1]S1 Datalog+Results'!AK17</f>
        <v>4</v>
      </c>
      <c r="S17">
        <f>'[2]S2 Datalog + Results'!AK17</f>
        <v>6</v>
      </c>
      <c r="T17">
        <f>'[3]S3 Datalog + Results'!AK17</f>
        <v>5</v>
      </c>
      <c r="U17">
        <f>'[4]S4 Datalog + Results'!AK17</f>
        <v>5</v>
      </c>
      <c r="V17">
        <f>'[1]S1 Datalog+Results'!S17</f>
        <v>5</v>
      </c>
      <c r="W17">
        <f>'[2]S2 Datalog + Results'!S17</f>
        <v>5</v>
      </c>
      <c r="X17">
        <f>'[3]S3 Datalog + Results'!S17</f>
        <v>6</v>
      </c>
      <c r="Y17">
        <f>'[4]S4 Datalog + Results'!S17</f>
        <v>6</v>
      </c>
      <c r="Z17">
        <f>'[1]S1 Datalog+Results'!T17-'[1]S1 Datalog+Results'!J17</f>
        <v>-12.797651830096797</v>
      </c>
      <c r="AA17">
        <f>'[2]S2 Datalog + Results'!T17-'[2]S2 Datalog + Results'!J17</f>
        <v>-8.1712071954096039</v>
      </c>
      <c r="AB17">
        <f>'[3]S3 Datalog + Results'!T17-'[3]S3 Datalog + Results'!J17</f>
        <v>12.229434970902396</v>
      </c>
      <c r="AC17">
        <f>'[4]S4 Datalog + Results'!T17-'[4]S4 Datalog + Results'!J17</f>
        <v>10.412295308093398</v>
      </c>
      <c r="AD17">
        <f>'[1]S1 Datalog+Results'!X17-'[1]S1 Datalog+Results'!N17</f>
        <v>-1.353842852563401E-3</v>
      </c>
      <c r="AE17">
        <f>'[2]S2 Datalog + Results'!X17-'[2]S2 Datalog + Results'!N17</f>
        <v>-2.1480736063128961E-4</v>
      </c>
      <c r="AF17">
        <f>'[3]S3 Datalog + Results'!X17-'[3]S3 Datalog + Results'!N17</f>
        <v>3.6408609090872006E-3</v>
      </c>
      <c r="AG17">
        <f>'[4]S4 Datalog + Results'!X17-'[4]S4 Datalog + Results'!N17</f>
        <v>1.4793704508595795E-3</v>
      </c>
      <c r="AH17">
        <f>'[1]S1 Datalog+Results'!W17-'[1]S1 Datalog+Results'!M17</f>
        <v>4.6070813771519059E-2</v>
      </c>
      <c r="AI17">
        <f>'[2]S2 Datalog + Results'!W17-'[2]S2 Datalog + Results'!M17</f>
        <v>6.3217310087172962E-2</v>
      </c>
      <c r="AJ17">
        <f>'[3]S3 Datalog + Results'!W17-'[3]S3 Datalog + Results'!M17</f>
        <v>4.7329597701147974E-2</v>
      </c>
      <c r="AK17">
        <f>'[4]S4 Datalog + Results'!W17-'[4]S4 Datalog + Results'!M17</f>
        <v>4.3639325842696974E-2</v>
      </c>
      <c r="AL17">
        <f>'[1]S1 Datalog+Results'!U17-'[1]S1 Datalog+Results'!K17</f>
        <v>7.2020831216509009</v>
      </c>
      <c r="AM17">
        <f>'[2]S2 Datalog + Results'!U17-'[2]S2 Datalog + Results'!K17</f>
        <v>-4.5337542393570018</v>
      </c>
      <c r="AN17">
        <f>'[3]S3 Datalog + Results'!U17-'[3]S3 Datalog + Results'!K17</f>
        <v>-2.6354356851012</v>
      </c>
      <c r="AO17">
        <f>'[4]S4 Datalog + Results'!U17-'[4]S4 Datalog + Results'!K17</f>
        <v>-1.3132812860770997</v>
      </c>
      <c r="AP17">
        <f>'[1]S1 Datalog+Results'!AL17-'[1]S1 Datalog+Results'!AB17</f>
        <v>-2.4574218590350938</v>
      </c>
      <c r="AQ17">
        <f>'[2]S2 Datalog + Results'!AL17-'[2]S2 Datalog + Results'!AB17</f>
        <v>212.51974614629759</v>
      </c>
      <c r="AR17">
        <f>'[3]S3 Datalog + Results'!AL17-'[3]S3 Datalog + Results'!AB17</f>
        <v>-9.2830293085165962</v>
      </c>
      <c r="AS17">
        <f>'[4]S4 Datalog + Results'!AL17-'[4]S4 Datalog + Results'!AB17</f>
        <v>-517.3257305092045</v>
      </c>
    </row>
    <row r="18" spans="1:45">
      <c r="A18">
        <v>17</v>
      </c>
      <c r="B18" t="s">
        <v>156</v>
      </c>
      <c r="C18" s="20">
        <f>'[1]S1 Datalog+Results'!AP18-'[1]S1 Datalog+Results'!AF18</f>
        <v>3.6951948754316948E-4</v>
      </c>
      <c r="D18" t="s">
        <v>138</v>
      </c>
      <c r="E18" s="20">
        <f>'[2]S2 Datalog + Results'!AP18-'[2]S2 Datalog + Results'!AF18</f>
        <v>-2.3852770119484699E-3</v>
      </c>
      <c r="F18" t="s">
        <v>119</v>
      </c>
      <c r="G18" s="20">
        <f>'[3]S3 Datalog + Results'!AP18-'[3]S3 Datalog + Results'!AF18</f>
        <v>-3.2045702836678951E-4</v>
      </c>
      <c r="H18" t="s">
        <v>189</v>
      </c>
      <c r="I18" s="20">
        <f>'[4]S4 Datalog + Results'!AP18-'[4]S4 Datalog + Results'!AF18</f>
        <v>2.1453113874824892E-3</v>
      </c>
      <c r="J18">
        <f>'[1]S1 Datalog+Results'!AO18-'[1]S1 Datalog+Results'!AE18</f>
        <v>-4.9587589376913987E-2</v>
      </c>
      <c r="K18">
        <f>'[2]S2 Datalog + Results'!AO18-'[2]S2 Datalog + Results'!AE18</f>
        <v>-3.1522388059701978E-2</v>
      </c>
      <c r="L18">
        <f>'[3]S3 Datalog + Results'!AO18-'[3]S3 Datalog + Results'!AE18</f>
        <v>-2.3558510638298058E-2</v>
      </c>
      <c r="M18">
        <f>'[4]S4 Datalog + Results'!AO18-'[4]S4 Datalog + Results'!AE18</f>
        <v>2.1919423517850978E-2</v>
      </c>
      <c r="N18">
        <f>'[1]S1 Datalog+Results'!AM18-'[1]S1 Datalog+Results'!AC18</f>
        <v>119.61138557121996</v>
      </c>
      <c r="O18">
        <f>'[2]S2 Datalog + Results'!AM18-'[2]S2 Datalog + Results'!AC18</f>
        <v>538.54073518796099</v>
      </c>
      <c r="P18">
        <f>'[3]S3 Datalog + Results'!AM18-'[3]S3 Datalog + Results'!AC18</f>
        <v>141.81290036055304</v>
      </c>
      <c r="Q18">
        <f>'[4]S4 Datalog + Results'!AM18-'[4]S4 Datalog + Results'!AC18</f>
        <v>91.747769432239068</v>
      </c>
      <c r="R18">
        <f>'[1]S1 Datalog+Results'!AK18</f>
        <v>5</v>
      </c>
      <c r="S18">
        <f>'[2]S2 Datalog + Results'!AK18</f>
        <v>6</v>
      </c>
      <c r="T18">
        <f>'[3]S3 Datalog + Results'!AK18</f>
        <v>5</v>
      </c>
      <c r="U18">
        <f>'[4]S4 Datalog + Results'!AK18</f>
        <v>6</v>
      </c>
      <c r="V18">
        <f>'[1]S1 Datalog+Results'!S18</f>
        <v>6</v>
      </c>
      <c r="W18">
        <f>'[2]S2 Datalog + Results'!S18</f>
        <v>7</v>
      </c>
      <c r="X18">
        <f>'[3]S3 Datalog + Results'!S18</f>
        <v>6</v>
      </c>
      <c r="Y18">
        <f>'[4]S4 Datalog + Results'!S18</f>
        <v>7</v>
      </c>
      <c r="Z18">
        <f>'[1]S1 Datalog+Results'!T18-'[1]S1 Datalog+Results'!J18</f>
        <v>58.448185654653003</v>
      </c>
      <c r="AA18">
        <f>'[2]S2 Datalog + Results'!T18-'[2]S2 Datalog + Results'!J18</f>
        <v>-92.41648763903595</v>
      </c>
      <c r="AB18">
        <f>'[3]S3 Datalog + Results'!T18-'[3]S3 Datalog + Results'!J18</f>
        <v>8.881583887441991</v>
      </c>
      <c r="AC18">
        <f>'[4]S4 Datalog + Results'!T18-'[4]S4 Datalog + Results'!J18</f>
        <v>-20.624477788634977</v>
      </c>
      <c r="AD18">
        <f>'[1]S1 Datalog+Results'!X18-'[1]S1 Datalog+Results'!N18</f>
        <v>-3.1359885170110027E-4</v>
      </c>
      <c r="AE18">
        <f>'[2]S2 Datalog + Results'!X18-'[2]S2 Datalog + Results'!N18</f>
        <v>-2.9080173435783001E-4</v>
      </c>
      <c r="AF18">
        <f>'[3]S3 Datalog + Results'!X18-'[3]S3 Datalog + Results'!N18</f>
        <v>1.9276072831896952E-4</v>
      </c>
      <c r="AG18">
        <f>'[4]S4 Datalog + Results'!X18-'[4]S4 Datalog + Results'!N18</f>
        <v>1.0098080454289116E-5</v>
      </c>
      <c r="AH18">
        <f>'[1]S1 Datalog+Results'!W18-'[1]S1 Datalog+Results'!M18</f>
        <v>-5.9212017434621012E-2</v>
      </c>
      <c r="AI18">
        <f>'[2]S2 Datalog + Results'!W18-'[2]S2 Datalog + Results'!M18</f>
        <v>7.9743181818182018E-2</v>
      </c>
      <c r="AJ18">
        <f>'[3]S3 Datalog + Results'!W18-'[3]S3 Datalog + Results'!M18</f>
        <v>-1.72843741624229E-2</v>
      </c>
      <c r="AK18">
        <f>'[4]S4 Datalog + Results'!W18-'[4]S4 Datalog + Results'!M18</f>
        <v>-3.8027777777777994E-2</v>
      </c>
      <c r="AL18">
        <f>'[1]S1 Datalog+Results'!U18-'[1]S1 Datalog+Results'!K18</f>
        <v>-163.51091402260101</v>
      </c>
      <c r="AM18">
        <f>'[2]S2 Datalog + Results'!U18-'[2]S2 Datalog + Results'!K18</f>
        <v>4.0171615381229913</v>
      </c>
      <c r="AN18">
        <f>'[3]S3 Datalog + Results'!U18-'[3]S3 Datalog + Results'!K18</f>
        <v>64.265677299842025</v>
      </c>
      <c r="AO18">
        <f>'[4]S4 Datalog + Results'!U18-'[4]S4 Datalog + Results'!K18</f>
        <v>-96.687984539599029</v>
      </c>
      <c r="AP18">
        <f>'[1]S1 Datalog+Results'!AL18-'[1]S1 Datalog+Results'!AB18</f>
        <v>62.41626210693704</v>
      </c>
      <c r="AQ18">
        <f>'[2]S2 Datalog + Results'!AL18-'[2]S2 Datalog + Results'!AB18</f>
        <v>393.21522961625999</v>
      </c>
      <c r="AR18">
        <f>'[3]S3 Datalog + Results'!AL18-'[3]S3 Datalog + Results'!AB18</f>
        <v>105.41906790664302</v>
      </c>
      <c r="AS18">
        <f>'[4]S4 Datalog + Results'!AL18-'[4]S4 Datalog + Results'!AB18</f>
        <v>19.274631591165985</v>
      </c>
    </row>
    <row r="19" spans="1:45">
      <c r="A19">
        <v>18</v>
      </c>
      <c r="B19" t="s">
        <v>138</v>
      </c>
      <c r="C19" s="20">
        <f>'[1]S1 Datalog+Results'!AP19-'[1]S1 Datalog+Results'!AF19</f>
        <v>1.0667375537719986E-4</v>
      </c>
      <c r="D19" t="s">
        <v>156</v>
      </c>
      <c r="E19" s="20">
        <f>'[2]S2 Datalog + Results'!AP19-'[2]S2 Datalog + Results'!AF19</f>
        <v>-3.1590372028309985E-4</v>
      </c>
      <c r="F19" t="s">
        <v>189</v>
      </c>
      <c r="G19" s="20">
        <f>'[3]S3 Datalog + Results'!AP19-'[3]S3 Datalog + Results'!AF19</f>
        <v>8.6612512379660028E-4</v>
      </c>
      <c r="H19" t="s">
        <v>334</v>
      </c>
      <c r="I19" s="20">
        <f>'[4]S4 Datalog + Results'!AP19-'[4]S4 Datalog + Results'!AF19</f>
        <v>1.1256715598285012E-3</v>
      </c>
      <c r="J19">
        <f>'[1]S1 Datalog+Results'!AO19-'[1]S1 Datalog+Results'!AE19</f>
        <v>6.1130283574101996E-2</v>
      </c>
      <c r="K19">
        <f>'[2]S2 Datalog + Results'!AO19-'[2]S2 Datalog + Results'!AE19</f>
        <v>2.0476190476189038E-2</v>
      </c>
      <c r="L19">
        <f>'[3]S3 Datalog + Results'!AO19-'[3]S3 Datalog + Results'!AE19</f>
        <v>-5.8301724137932998E-2</v>
      </c>
      <c r="M19">
        <f>'[4]S4 Datalog + Results'!AO19-'[4]S4 Datalog + Results'!AE19</f>
        <v>-1.790135445949298E-2</v>
      </c>
      <c r="N19">
        <f>'[1]S1 Datalog+Results'!AM19-'[1]S1 Datalog+Results'!AC19</f>
        <v>-199.866001930024</v>
      </c>
      <c r="O19">
        <f>'[2]S2 Datalog + Results'!AM19-'[2]S2 Datalog + Results'!AC19</f>
        <v>55.911364344818026</v>
      </c>
      <c r="P19">
        <f>'[3]S3 Datalog + Results'!AM19-'[3]S3 Datalog + Results'!AC19</f>
        <v>32.741698344590986</v>
      </c>
      <c r="Q19">
        <f>'[4]S4 Datalog + Results'!AM19-'[4]S4 Datalog + Results'!AC19</f>
        <v>-493.68483295085599</v>
      </c>
      <c r="R19">
        <f>'[1]S1 Datalog+Results'!AK19</f>
        <v>7</v>
      </c>
      <c r="S19">
        <f>'[2]S2 Datalog + Results'!AK19</f>
        <v>7</v>
      </c>
      <c r="T19">
        <f>'[3]S3 Datalog + Results'!AK19</f>
        <v>3</v>
      </c>
      <c r="U19">
        <f>'[4]S4 Datalog + Results'!AK19</f>
        <v>7</v>
      </c>
      <c r="V19">
        <f>'[1]S1 Datalog+Results'!S19</f>
        <v>2</v>
      </c>
      <c r="W19">
        <f>'[2]S2 Datalog + Results'!S19</f>
        <v>7</v>
      </c>
      <c r="X19">
        <f>'[3]S3 Datalog + Results'!S19</f>
        <v>7</v>
      </c>
      <c r="Y19">
        <f>'[4]S4 Datalog + Results'!S19</f>
        <v>7</v>
      </c>
      <c r="Z19">
        <f>'[1]S1 Datalog+Results'!T19-'[1]S1 Datalog+Results'!J19</f>
        <v>618.83762005876804</v>
      </c>
      <c r="AA19">
        <f>'[2]S2 Datalog + Results'!T19-'[2]S2 Datalog + Results'!J19</f>
        <v>-107.537014601213</v>
      </c>
      <c r="AB19">
        <f>'[3]S3 Datalog + Results'!T19-'[3]S3 Datalog + Results'!J19</f>
        <v>85.682531660374025</v>
      </c>
      <c r="AC19">
        <f>'[4]S4 Datalog + Results'!T19-'[4]S4 Datalog + Results'!J19</f>
        <v>-64.835491568358009</v>
      </c>
      <c r="AD19">
        <f>'[1]S1 Datalog+Results'!X19-'[1]S1 Datalog+Results'!N19</f>
        <v>4.8130560571840036E-4</v>
      </c>
      <c r="AE19">
        <f>'[2]S2 Datalog + Results'!X19-'[2]S2 Datalog + Results'!N19</f>
        <v>1.5071734539360004E-3</v>
      </c>
      <c r="AF19">
        <f>'[3]S3 Datalog + Results'!X19-'[3]S3 Datalog + Results'!N19</f>
        <v>3.4127089094569407E-3</v>
      </c>
      <c r="AG19">
        <f>'[4]S4 Datalog + Results'!X19-'[4]S4 Datalog + Results'!N19</f>
        <v>4.4553024891959975E-4</v>
      </c>
      <c r="AH19">
        <f>'[1]S1 Datalog+Results'!W19-'[1]S1 Datalog+Results'!M19</f>
        <v>-6.5588679245282999E-2</v>
      </c>
      <c r="AI19">
        <f>'[2]S2 Datalog + Results'!W19-'[2]S2 Datalog + Results'!M19</f>
        <v>8.9202435312024986E-2</v>
      </c>
      <c r="AJ19">
        <f>'[3]S3 Datalog + Results'!W19-'[3]S3 Datalog + Results'!M19</f>
        <v>4.6713396659025019E-2</v>
      </c>
      <c r="AK19">
        <f>'[4]S4 Datalog + Results'!W19-'[4]S4 Datalog + Results'!M19</f>
        <v>3.8114258585217997E-2</v>
      </c>
      <c r="AL19">
        <f>'[1]S1 Datalog+Results'!U19-'[1]S1 Datalog+Results'!K19</f>
        <v>1015.71912127976</v>
      </c>
      <c r="AM19">
        <f>'[2]S2 Datalog + Results'!U19-'[2]S2 Datalog + Results'!K19</f>
        <v>-92.211361222725998</v>
      </c>
      <c r="AN19">
        <f>'[3]S3 Datalog + Results'!U19-'[3]S3 Datalog + Results'!K19</f>
        <v>160.37722195071399</v>
      </c>
      <c r="AO19">
        <f>'[4]S4 Datalog + Results'!U19-'[4]S4 Datalog + Results'!K19</f>
        <v>-98.335242432889004</v>
      </c>
      <c r="AP19">
        <f>'[1]S1 Datalog+Results'!AL19-'[1]S1 Datalog+Results'!AB19</f>
        <v>-164.03394180446298</v>
      </c>
      <c r="AQ19">
        <f>'[2]S2 Datalog + Results'!AL19-'[2]S2 Datalog + Results'!AB19</f>
        <v>51.693546106726956</v>
      </c>
      <c r="AR19">
        <f>'[3]S3 Datalog + Results'!AL19-'[3]S3 Datalog + Results'!AB19</f>
        <v>-64.540395031488003</v>
      </c>
      <c r="AS19">
        <f>'[4]S4 Datalog + Results'!AL19-'[4]S4 Datalog + Results'!AB19</f>
        <v>-371.72563135506402</v>
      </c>
    </row>
    <row r="20" spans="1:45">
      <c r="A20">
        <v>19</v>
      </c>
      <c r="B20" t="s">
        <v>189</v>
      </c>
      <c r="C20" s="20">
        <f>'[1]S1 Datalog+Results'!AP20-'[1]S1 Datalog+Results'!AF20</f>
        <v>4.8043852866032997E-3</v>
      </c>
      <c r="D20" t="s">
        <v>119</v>
      </c>
      <c r="E20" s="20">
        <f>'[2]S2 Datalog + Results'!AP20-'[2]S2 Datalog + Results'!AF20</f>
        <v>-1.3988257833093994E-3</v>
      </c>
      <c r="F20" t="s">
        <v>138</v>
      </c>
      <c r="G20" s="20">
        <f>'[3]S3 Datalog + Results'!AP20-'[3]S3 Datalog + Results'!AF20</f>
        <v>-7.9222523988399865E-5</v>
      </c>
      <c r="H20" t="s">
        <v>156</v>
      </c>
      <c r="I20" s="20">
        <f>'[4]S4 Datalog + Results'!AP20-'[4]S4 Datalog + Results'!AF20</f>
        <v>-2.5534044686634401E-2</v>
      </c>
      <c r="J20">
        <f>'[1]S1 Datalog+Results'!AO20-'[1]S1 Datalog+Results'!AE20</f>
        <v>-1.2929411764705967E-2</v>
      </c>
      <c r="K20">
        <f>'[2]S2 Datalog + Results'!AO20-'[2]S2 Datalog + Results'!AE20</f>
        <v>6.8691544117646941E-2</v>
      </c>
      <c r="L20">
        <f>'[3]S3 Datalog + Results'!AO20-'[3]S3 Datalog + Results'!AE20</f>
        <v>-7.5568181818181979E-2</v>
      </c>
      <c r="M20">
        <f>'[4]S4 Datalog + Results'!AO20-'[4]S4 Datalog + Results'!AE20</f>
        <v>-2.5153705158417972E-2</v>
      </c>
      <c r="N20">
        <f>'[1]S1 Datalog+Results'!AM20-'[1]S1 Datalog+Results'!AC20</f>
        <v>444.34530775017498</v>
      </c>
      <c r="O20">
        <f>'[2]S2 Datalog + Results'!AM20-'[2]S2 Datalog + Results'!AC20</f>
        <v>-266.66450882129101</v>
      </c>
      <c r="P20">
        <f>'[3]S3 Datalog + Results'!AM20-'[3]S3 Datalog + Results'!AC20</f>
        <v>19.631735326338003</v>
      </c>
      <c r="Q20">
        <f>'[4]S4 Datalog + Results'!AM20-'[4]S4 Datalog + Results'!AC20</f>
        <v>-157.45241820943801</v>
      </c>
      <c r="R20">
        <f>'[1]S1 Datalog+Results'!AK20</f>
        <v>3</v>
      </c>
      <c r="S20">
        <f>'[2]S2 Datalog + Results'!AK20</f>
        <v>5</v>
      </c>
      <c r="T20">
        <f>'[3]S3 Datalog + Results'!AK20</f>
        <v>6</v>
      </c>
      <c r="U20">
        <f>'[4]S4 Datalog + Results'!AK20</f>
        <v>6</v>
      </c>
      <c r="V20">
        <f>'[1]S1 Datalog+Results'!S20</f>
        <v>6</v>
      </c>
      <c r="W20">
        <f>'[2]S2 Datalog + Results'!S20</f>
        <v>2</v>
      </c>
      <c r="X20">
        <f>'[3]S3 Datalog + Results'!S20</f>
        <v>2</v>
      </c>
      <c r="Y20">
        <f>'[4]S4 Datalog + Results'!S20</f>
        <v>7</v>
      </c>
      <c r="Z20">
        <f>'[1]S1 Datalog+Results'!T20-'[1]S1 Datalog+Results'!J20</f>
        <v>-336.1153165212765</v>
      </c>
      <c r="AA20">
        <f>'[2]S2 Datalog + Results'!T20-'[2]S2 Datalog + Results'!J20</f>
        <v>113.243608865103</v>
      </c>
      <c r="AB20">
        <f>'[3]S3 Datalog + Results'!T20-'[3]S3 Datalog + Results'!J20</f>
        <v>-12.037587774868996</v>
      </c>
      <c r="AC20">
        <f>'[4]S4 Datalog + Results'!T20-'[4]S4 Datalog + Results'!J20</f>
        <v>33.603666613745105</v>
      </c>
      <c r="AD20">
        <f>'[1]S1 Datalog+Results'!X20-'[1]S1 Datalog+Results'!N20</f>
        <v>-4.9106403634189E-3</v>
      </c>
      <c r="AE20">
        <f>'[2]S2 Datalog + Results'!X20-'[2]S2 Datalog + Results'!N20</f>
        <v>8.1983503293405029E-3</v>
      </c>
      <c r="AF20">
        <f>'[3]S3 Datalog + Results'!X20-'[3]S3 Datalog + Results'!N20</f>
        <v>1.29128155149892E-2</v>
      </c>
      <c r="AG20">
        <f>'[4]S4 Datalog + Results'!X20-'[4]S4 Datalog + Results'!N20</f>
        <v>2.7387931181011987E-3</v>
      </c>
      <c r="AH20">
        <f>'[1]S1 Datalog+Results'!W20-'[1]S1 Datalog+Results'!M20</f>
        <v>2.4859577922076992E-2</v>
      </c>
      <c r="AI20">
        <f>'[2]S2 Datalog + Results'!W20-'[2]S2 Datalog + Results'!M20</f>
        <v>7.6833696441530597E-3</v>
      </c>
      <c r="AJ20">
        <f>'[3]S3 Datalog + Results'!W20-'[3]S3 Datalog + Results'!M20</f>
        <v>9.9875874125873954E-2</v>
      </c>
      <c r="AK20">
        <f>'[4]S4 Datalog + Results'!W20-'[4]S4 Datalog + Results'!M20</f>
        <v>1.9684556407449039E-2</v>
      </c>
      <c r="AL20">
        <f>'[1]S1 Datalog+Results'!U20-'[1]S1 Datalog+Results'!K20</f>
        <v>-485.48378793005401</v>
      </c>
      <c r="AM20">
        <f>'[2]S2 Datalog + Results'!U20-'[2]S2 Datalog + Results'!K20</f>
        <v>160.01135098255099</v>
      </c>
      <c r="AN20">
        <f>'[3]S3 Datalog + Results'!U20-'[3]S3 Datalog + Results'!K20</f>
        <v>-85.742591601353979</v>
      </c>
      <c r="AO20">
        <f>'[4]S4 Datalog + Results'!U20-'[4]S4 Datalog + Results'!K20</f>
        <v>62.217167759831</v>
      </c>
      <c r="AP20">
        <f>'[1]S1 Datalog+Results'!AL20-'[1]S1 Datalog+Results'!AB20</f>
        <v>487.09883137106601</v>
      </c>
      <c r="AQ20">
        <f>'[2]S2 Datalog + Results'!AL20-'[2]S2 Datalog + Results'!AB20</f>
        <v>-205.116076684896</v>
      </c>
      <c r="AR20">
        <f>'[3]S3 Datalog + Results'!AL20-'[3]S3 Datalog + Results'!AB20</f>
        <v>-7.8736642160439914</v>
      </c>
      <c r="AS20">
        <f>'[4]S4 Datalog + Results'!AL20-'[4]S4 Datalog + Results'!AB20</f>
        <v>-146.38632254610201</v>
      </c>
    </row>
    <row r="21" spans="1:45">
      <c r="A21">
        <v>20</v>
      </c>
      <c r="B21" t="s">
        <v>138</v>
      </c>
      <c r="C21" s="20">
        <f>'[1]S1 Datalog+Results'!AP21-'[1]S1 Datalog+Results'!AF21</f>
        <v>1.5539989058883198E-2</v>
      </c>
      <c r="D21" t="s">
        <v>189</v>
      </c>
      <c r="E21" s="20">
        <f>'[2]S2 Datalog + Results'!AP21-'[2]S2 Datalog + Results'!AF21</f>
        <v>-1.7648994813242301E-2</v>
      </c>
      <c r="F21" t="s">
        <v>156</v>
      </c>
      <c r="G21" s="20">
        <f>'[3]S3 Datalog + Results'!AP21-'[3]S3 Datalog + Results'!AF21</f>
        <v>-6.7502543888353986E-3</v>
      </c>
      <c r="H21" t="s">
        <v>334</v>
      </c>
      <c r="I21" s="20">
        <f>'[4]S4 Datalog + Results'!AP21-'[4]S4 Datalog + Results'!AF21</f>
        <v>3.0526152065836025E-3</v>
      </c>
      <c r="J21">
        <f>'[1]S1 Datalog+Results'!AO21-'[1]S1 Datalog+Results'!AE21</f>
        <v>3.5100775193797951E-2</v>
      </c>
      <c r="K21">
        <f>'[2]S2 Datalog + Results'!AO21-'[2]S2 Datalog + Results'!AE21</f>
        <v>-8.0279115479113927E-2</v>
      </c>
      <c r="L21">
        <f>'[3]S3 Datalog + Results'!AO21-'[3]S3 Datalog + Results'!AE21</f>
        <v>-7.7606949806950043E-2</v>
      </c>
      <c r="M21">
        <f>'[4]S4 Datalog + Results'!AO21-'[4]S4 Datalog + Results'!AE21</f>
        <v>-2.6171211160431973E-2</v>
      </c>
      <c r="N21">
        <f>'[1]S1 Datalog+Results'!AM21-'[1]S1 Datalog+Results'!AC21</f>
        <v>28.394996195216208</v>
      </c>
      <c r="O21">
        <f>'[2]S2 Datalog + Results'!AM21-'[2]S2 Datalog + Results'!AC21</f>
        <v>-34.765600439671999</v>
      </c>
      <c r="P21">
        <f>'[3]S3 Datalog + Results'!AM21-'[3]S3 Datalog + Results'!AC21</f>
        <v>-4.6480339609233994</v>
      </c>
      <c r="Q21">
        <f>'[4]S4 Datalog + Results'!AM21-'[4]S4 Datalog + Results'!AC21</f>
        <v>-72.195333787738093</v>
      </c>
      <c r="R21">
        <f>'[1]S1 Datalog+Results'!AK21</f>
        <v>7</v>
      </c>
      <c r="S21">
        <f>'[2]S2 Datalog + Results'!AK21</f>
        <v>7</v>
      </c>
      <c r="T21">
        <f>'[3]S3 Datalog + Results'!AK21</f>
        <v>6</v>
      </c>
      <c r="U21">
        <f>'[4]S4 Datalog + Results'!AK21</f>
        <v>7</v>
      </c>
      <c r="V21">
        <f>'[1]S1 Datalog+Results'!S21</f>
        <v>6</v>
      </c>
      <c r="W21">
        <f>'[2]S2 Datalog + Results'!S21</f>
        <v>7</v>
      </c>
      <c r="X21">
        <f>'[3]S3 Datalog + Results'!S21</f>
        <v>7</v>
      </c>
      <c r="Y21">
        <f>'[4]S4 Datalog + Results'!S21</f>
        <v>7</v>
      </c>
      <c r="Z21">
        <f>'[1]S1 Datalog+Results'!T21-'[1]S1 Datalog+Results'!J21</f>
        <v>-37.884082734204711</v>
      </c>
      <c r="AA21">
        <f>'[2]S2 Datalog + Results'!T21-'[2]S2 Datalog + Results'!J21</f>
        <v>-27.221357222526905</v>
      </c>
      <c r="AB21">
        <f>'[3]S3 Datalog + Results'!T21-'[3]S3 Datalog + Results'!J21</f>
        <v>-132.32673789545052</v>
      </c>
      <c r="AC21">
        <f>'[4]S4 Datalog + Results'!T21-'[4]S4 Datalog + Results'!J21</f>
        <v>-59.496184300114301</v>
      </c>
      <c r="AD21">
        <f>'[1]S1 Datalog+Results'!X21-'[1]S1 Datalog+Results'!N21</f>
        <v>-5.2547953638312009E-3</v>
      </c>
      <c r="AE21">
        <f>'[2]S2 Datalog + Results'!X21-'[2]S2 Datalog + Results'!N21</f>
        <v>-1.3592692904894996E-2</v>
      </c>
      <c r="AF21">
        <f>'[3]S3 Datalog + Results'!X21-'[3]S3 Datalog + Results'!N21</f>
        <v>-1.7226015013429099E-2</v>
      </c>
      <c r="AG21">
        <f>'[4]S4 Datalog + Results'!X21-'[4]S4 Datalog + Results'!N21</f>
        <v>5.1805763901484995E-3</v>
      </c>
      <c r="AH21">
        <f>'[1]S1 Datalog+Results'!W21-'[1]S1 Datalog+Results'!M21</f>
        <v>-4.9115012106537015E-2</v>
      </c>
      <c r="AI21">
        <f>'[2]S2 Datalog + Results'!W21-'[2]S2 Datalog + Results'!M21</f>
        <v>8.0405797101448073E-2</v>
      </c>
      <c r="AJ21">
        <f>'[3]S3 Datalog + Results'!W21-'[3]S3 Datalog + Results'!M21</f>
        <v>-1.6741155660377927E-2</v>
      </c>
      <c r="AK21">
        <f>'[4]S4 Datalog + Results'!W21-'[4]S4 Datalog + Results'!M21</f>
        <v>-4.0878004035957038E-2</v>
      </c>
      <c r="AL21">
        <f>'[1]S1 Datalog+Results'!U21-'[1]S1 Datalog+Results'!K21</f>
        <v>17.894133116751199</v>
      </c>
      <c r="AM21">
        <f>'[2]S2 Datalog + Results'!U21-'[2]S2 Datalog + Results'!K21</f>
        <v>-47.053493411824519</v>
      </c>
      <c r="AN21">
        <f>'[3]S3 Datalog + Results'!U21-'[3]S3 Datalog + Results'!K21</f>
        <v>-185.66282522520163</v>
      </c>
      <c r="AO21">
        <f>'[4]S4 Datalog + Results'!U21-'[4]S4 Datalog + Results'!K21</f>
        <v>-78.429497874588805</v>
      </c>
      <c r="AP21">
        <f>'[1]S1 Datalog+Results'!AL21-'[1]S1 Datalog+Results'!AB21</f>
        <v>8.2338168795897957</v>
      </c>
      <c r="AQ21">
        <f>'[2]S2 Datalog + Results'!AL21-'[2]S2 Datalog + Results'!AB21</f>
        <v>-10.840668541598603</v>
      </c>
      <c r="AR21">
        <f>'[3]S3 Datalog + Results'!AL21-'[3]S3 Datalog + Results'!AB21</f>
        <v>4.1112205579646002</v>
      </c>
      <c r="AS21">
        <f>'[4]S4 Datalog + Results'!AL21-'[4]S4 Datalog + Results'!AB21</f>
        <v>-49.0691554677299</v>
      </c>
    </row>
    <row r="22" spans="1:45">
      <c r="A22">
        <v>21</v>
      </c>
      <c r="B22" t="s">
        <v>156</v>
      </c>
      <c r="C22" s="20">
        <f>'[1]S1 Datalog+Results'!AP22-'[1]S1 Datalog+Results'!AF22</f>
        <v>3.0073267347888004E-3</v>
      </c>
      <c r="D22" t="s">
        <v>334</v>
      </c>
      <c r="E22" s="20">
        <f>'[2]S2 Datalog + Results'!AP22-'[2]S2 Datalog + Results'!AF22</f>
        <v>8.7046558156020012E-4</v>
      </c>
      <c r="F22" t="s">
        <v>189</v>
      </c>
      <c r="G22" s="20">
        <f>'[3]S3 Datalog + Results'!AP22-'[3]S3 Datalog + Results'!AF22</f>
        <v>9.3666697990969945E-4</v>
      </c>
      <c r="H22" t="s">
        <v>138</v>
      </c>
      <c r="I22" s="20">
        <f>'[4]S4 Datalog + Results'!AP22-'[4]S4 Datalog + Results'!AF22</f>
        <v>8.7675457310650018E-4</v>
      </c>
      <c r="J22">
        <f>'[1]S1 Datalog+Results'!AO22-'[1]S1 Datalog+Results'!AE22</f>
        <v>0.16659165768816403</v>
      </c>
      <c r="K22">
        <f>'[2]S2 Datalog + Results'!AO22-'[2]S2 Datalog + Results'!AE22</f>
        <v>1.3504105090311025E-2</v>
      </c>
      <c r="L22">
        <f>'[3]S3 Datalog + Results'!AO22-'[3]S3 Datalog + Results'!AE22</f>
        <v>-8.7951598962829891E-3</v>
      </c>
      <c r="M22">
        <f>'[4]S4 Datalog + Results'!AO22-'[4]S4 Datalog + Results'!AE22</f>
        <v>-5.5402928672650953E-2</v>
      </c>
      <c r="N22">
        <f>'[1]S1 Datalog+Results'!AM22-'[1]S1 Datalog+Results'!AC22</f>
        <v>371.28971523931745</v>
      </c>
      <c r="O22">
        <f>'[2]S2 Datalog + Results'!AM22-'[2]S2 Datalog + Results'!AC22</f>
        <v>-11.1121354046834</v>
      </c>
      <c r="P22">
        <f>'[3]S3 Datalog + Results'!AM22-'[3]S3 Datalog + Results'!AC22</f>
        <v>15.853720105529302</v>
      </c>
      <c r="Q22">
        <f>'[4]S4 Datalog + Results'!AM22-'[4]S4 Datalog + Results'!AC22</f>
        <v>25.623614416367097</v>
      </c>
      <c r="R22">
        <f>'[1]S1 Datalog+Results'!AK22</f>
        <v>7</v>
      </c>
      <c r="S22">
        <f>'[2]S2 Datalog + Results'!AK22</f>
        <v>7</v>
      </c>
      <c r="T22">
        <f>'[3]S3 Datalog + Results'!AK22</f>
        <v>7</v>
      </c>
      <c r="U22">
        <f>'[4]S4 Datalog + Results'!AK22</f>
        <v>7</v>
      </c>
      <c r="V22">
        <f>'[1]S1 Datalog+Results'!S22</f>
        <v>8</v>
      </c>
      <c r="W22">
        <f>'[2]S2 Datalog + Results'!S22</f>
        <v>8</v>
      </c>
      <c r="X22">
        <f>'[3]S3 Datalog + Results'!S22</f>
        <v>8</v>
      </c>
      <c r="Y22">
        <f>'[4]S4 Datalog + Results'!S22</f>
        <v>8</v>
      </c>
      <c r="Z22">
        <f>'[1]S1 Datalog+Results'!T22-'[1]S1 Datalog+Results'!J22</f>
        <v>-309.97458588699897</v>
      </c>
      <c r="AA22">
        <f>'[2]S2 Datalog + Results'!T22-'[2]S2 Datalog + Results'!J22</f>
        <v>0.45932550151809437</v>
      </c>
      <c r="AB22">
        <f>'[3]S3 Datalog + Results'!T22-'[3]S3 Datalog + Results'!J22</f>
        <v>24.324470465973896</v>
      </c>
      <c r="AC22">
        <f>'[4]S4 Datalog + Results'!T22-'[4]S4 Datalog + Results'!J22</f>
        <v>14.981036820633598</v>
      </c>
      <c r="AD22">
        <f>'[1]S1 Datalog+Results'!X22-'[1]S1 Datalog+Results'!N22</f>
        <v>-9.6779800243150006E-4</v>
      </c>
      <c r="AE22">
        <f>'[2]S2 Datalog + Results'!X22-'[2]S2 Datalog + Results'!N22</f>
        <v>2.2381999163063014E-3</v>
      </c>
      <c r="AF22">
        <f>'[3]S3 Datalog + Results'!X22-'[3]S3 Datalog + Results'!N22</f>
        <v>7.1015963622639983E-4</v>
      </c>
      <c r="AG22">
        <f>'[4]S4 Datalog + Results'!X22-'[4]S4 Datalog + Results'!N22</f>
        <v>1.7633600232434994E-3</v>
      </c>
      <c r="AH22">
        <f>'[1]S1 Datalog+Results'!W22-'[1]S1 Datalog+Results'!M22</f>
        <v>2.5142309167627053E-2</v>
      </c>
      <c r="AI22">
        <f>'[2]S2 Datalog + Results'!W22-'[2]S2 Datalog + Results'!M22</f>
        <v>1.6052631578945986E-2</v>
      </c>
      <c r="AJ22">
        <f>'[3]S3 Datalog + Results'!W22-'[3]S3 Datalog + Results'!M22</f>
        <v>-2.4476190476188986E-2</v>
      </c>
      <c r="AK22">
        <f>'[4]S4 Datalog + Results'!W22-'[4]S4 Datalog + Results'!M22</f>
        <v>-3.3320310077519955E-2</v>
      </c>
      <c r="AL22">
        <f>'[1]S1 Datalog+Results'!U22-'[1]S1 Datalog+Results'!K22</f>
        <v>-492.54108133460699</v>
      </c>
      <c r="AM22">
        <f>'[2]S2 Datalog + Results'!U22-'[2]S2 Datalog + Results'!K22</f>
        <v>-35.582649657675802</v>
      </c>
      <c r="AN22">
        <f>'[3]S3 Datalog + Results'!U22-'[3]S3 Datalog + Results'!K22</f>
        <v>23.852343612134497</v>
      </c>
      <c r="AO22">
        <f>'[4]S4 Datalog + Results'!U22-'[4]S4 Datalog + Results'!K22</f>
        <v>4.3100908353335043</v>
      </c>
      <c r="AP22">
        <f>'[1]S1 Datalog+Results'!AL22-'[1]S1 Datalog+Results'!AB22</f>
        <v>266.0103117843114</v>
      </c>
      <c r="AQ22">
        <f>'[2]S2 Datalog + Results'!AL22-'[2]S2 Datalog + Results'!AB22</f>
        <v>-3.0104943911221085</v>
      </c>
      <c r="AR22">
        <f>'[3]S3 Datalog + Results'!AL22-'[3]S3 Datalog + Results'!AB22</f>
        <v>3.6985313724165962</v>
      </c>
      <c r="AS22">
        <f>'[4]S4 Datalog + Results'!AL22-'[4]S4 Datalog + Results'!AB22</f>
        <v>15.0552518046145</v>
      </c>
    </row>
    <row r="23" spans="1:45">
      <c r="A23">
        <v>22</v>
      </c>
      <c r="B23" t="s">
        <v>119</v>
      </c>
      <c r="C23" s="20">
        <f>'[1]S1 Datalog+Results'!AP23-'[1]S1 Datalog+Results'!AF23</f>
        <v>1.2171544440457011E-3</v>
      </c>
      <c r="D23" t="s">
        <v>138</v>
      </c>
      <c r="E23" s="20">
        <f>'[2]S2 Datalog + Results'!AP23-'[2]S2 Datalog + Results'!AF23</f>
        <v>2.5211443676034003E-3</v>
      </c>
      <c r="F23" t="s">
        <v>156</v>
      </c>
      <c r="G23" s="20">
        <f>'[3]S3 Datalog + Results'!AP23-'[3]S3 Datalog + Results'!AF23</f>
        <v>2.0282119439466017E-3</v>
      </c>
      <c r="H23" t="s">
        <v>189</v>
      </c>
      <c r="I23" s="20">
        <f>'[4]S4 Datalog + Results'!AP23-'[4]S4 Datalog + Results'!AF23</f>
        <v>2.3585963601444986E-3</v>
      </c>
      <c r="J23">
        <f>'[1]S1 Datalog+Results'!AO23-'[1]S1 Datalog+Results'!AE23</f>
        <v>7.386038687973101E-2</v>
      </c>
      <c r="K23">
        <f>'[2]S2 Datalog + Results'!AO23-'[2]S2 Datalog + Results'!AE23</f>
        <v>-1.2798466593648028E-2</v>
      </c>
      <c r="L23">
        <f>'[3]S3 Datalog + Results'!AO23-'[3]S3 Datalog + Results'!AE23</f>
        <v>8.6540978189028006E-2</v>
      </c>
      <c r="M23">
        <f>'[4]S4 Datalog + Results'!AO23-'[4]S4 Datalog + Results'!AE23</f>
        <v>3.7713077620052993E-2</v>
      </c>
      <c r="N23">
        <f>'[1]S1 Datalog+Results'!AM23-'[1]S1 Datalog+Results'!AC23</f>
        <v>408.4124896521655</v>
      </c>
      <c r="O23">
        <f>'[2]S2 Datalog + Results'!AM23-'[2]S2 Datalog + Results'!AC23</f>
        <v>-240.26950669079221</v>
      </c>
      <c r="P23">
        <f>'[3]S3 Datalog + Results'!AM23-'[3]S3 Datalog + Results'!AC23</f>
        <v>-9.5157248986737955</v>
      </c>
      <c r="Q23">
        <f>'[4]S4 Datalog + Results'!AM23-'[4]S4 Datalog + Results'!AC23</f>
        <v>1.586340760876098</v>
      </c>
      <c r="R23">
        <f>'[1]S1 Datalog+Results'!AK23</f>
        <v>4</v>
      </c>
      <c r="S23">
        <f>'[2]S2 Datalog + Results'!AK23</f>
        <v>7</v>
      </c>
      <c r="T23">
        <f>'[3]S3 Datalog + Results'!AK23</f>
        <v>7</v>
      </c>
      <c r="U23">
        <f>'[4]S4 Datalog + Results'!AK23</f>
        <v>6</v>
      </c>
      <c r="V23">
        <f>'[1]S1 Datalog+Results'!S23</f>
        <v>8</v>
      </c>
      <c r="W23">
        <f>'[2]S2 Datalog + Results'!S23</f>
        <v>8</v>
      </c>
      <c r="X23">
        <f>'[3]S3 Datalog + Results'!S23</f>
        <v>8</v>
      </c>
      <c r="Y23">
        <f>'[4]S4 Datalog + Results'!S23</f>
        <v>8</v>
      </c>
      <c r="Z23">
        <f>'[1]S1 Datalog+Results'!T23-'[1]S1 Datalog+Results'!J23</f>
        <v>-45.883022206642508</v>
      </c>
      <c r="AA23">
        <f>'[2]S2 Datalog + Results'!T23-'[2]S2 Datalog + Results'!J23</f>
        <v>-191.12918501398971</v>
      </c>
      <c r="AB23">
        <f>'[3]S3 Datalog + Results'!T23-'[3]S3 Datalog + Results'!J23</f>
        <v>-42.041832178580506</v>
      </c>
      <c r="AC23">
        <f>'[4]S4 Datalog + Results'!T23-'[4]S4 Datalog + Results'!J23</f>
        <v>-14.744090819982702</v>
      </c>
      <c r="AD23">
        <f>'[1]S1 Datalog+Results'!X23-'[1]S1 Datalog+Results'!N23</f>
        <v>1.8951970332884999E-3</v>
      </c>
      <c r="AE23">
        <f>'[2]S2 Datalog + Results'!X23-'[2]S2 Datalog + Results'!N23</f>
        <v>7.2886373138949974E-3</v>
      </c>
      <c r="AF23">
        <f>'[3]S3 Datalog + Results'!X23-'[3]S3 Datalog + Results'!N23</f>
        <v>3.4029738051791006E-3</v>
      </c>
      <c r="AG23">
        <f>'[4]S4 Datalog + Results'!X23-'[4]S4 Datalog + Results'!N23</f>
        <v>-6.5318685255723007E-3</v>
      </c>
      <c r="AH23">
        <f>'[1]S1 Datalog+Results'!W23-'[1]S1 Datalog+Results'!M23</f>
        <v>-3.1385399892646992E-2</v>
      </c>
      <c r="AI23">
        <f>'[2]S2 Datalog + Results'!W23-'[2]S2 Datalog + Results'!M23</f>
        <v>-3.0372919334187065E-2</v>
      </c>
      <c r="AJ23">
        <f>'[3]S3 Datalog + Results'!W23-'[3]S3 Datalog + Results'!M23</f>
        <v>9.6375091575079952E-3</v>
      </c>
      <c r="AK23">
        <f>'[4]S4 Datalog + Results'!W23-'[4]S4 Datalog + Results'!M23</f>
        <v>-4.3702754036088032E-2</v>
      </c>
      <c r="AL23">
        <f>'[1]S1 Datalog+Results'!U23-'[1]S1 Datalog+Results'!K23</f>
        <v>-66.840815789216904</v>
      </c>
      <c r="AM23">
        <f>'[2]S2 Datalog + Results'!U23-'[2]S2 Datalog + Results'!K23</f>
        <v>-350.57201156697801</v>
      </c>
      <c r="AN23">
        <f>'[3]S3 Datalog + Results'!U23-'[3]S3 Datalog + Results'!K23</f>
        <v>-58.148958454936007</v>
      </c>
      <c r="AO23">
        <f>'[4]S4 Datalog + Results'!U23-'[4]S4 Datalog + Results'!K23</f>
        <v>-36.407565539374808</v>
      </c>
      <c r="AP23">
        <f>'[1]S1 Datalog+Results'!AL23-'[1]S1 Datalog+Results'!AB23</f>
        <v>246.56557100413187</v>
      </c>
      <c r="AQ23">
        <f>'[2]S2 Datalog + Results'!AL23-'[2]S2 Datalog + Results'!AB23</f>
        <v>-196.234985567172</v>
      </c>
      <c r="AR23">
        <f>'[3]S3 Datalog + Results'!AL23-'[3]S3 Datalog + Results'!AB23</f>
        <v>-16.659807781222</v>
      </c>
      <c r="AS23">
        <f>'[4]S4 Datalog + Results'!AL23-'[4]S4 Datalog + Results'!AB23</f>
        <v>-6.9053799841163013</v>
      </c>
    </row>
    <row r="24" spans="1:45">
      <c r="A24">
        <v>23</v>
      </c>
      <c r="B24" t="s">
        <v>189</v>
      </c>
      <c r="C24" s="20">
        <f>'[1]S1 Datalog+Results'!AP24-'[1]S1 Datalog+Results'!AF24</f>
        <v>1.519717389474198E-3</v>
      </c>
      <c r="D24" t="s">
        <v>156</v>
      </c>
      <c r="E24" s="20">
        <f>'[2]S2 Datalog + Results'!AP24-'[2]S2 Datalog + Results'!AF24</f>
        <v>2.1204263412990046E-4</v>
      </c>
      <c r="F24" t="s">
        <v>334</v>
      </c>
      <c r="G24" s="20">
        <f>'[3]S3 Datalog + Results'!AP24-'[3]S3 Datalog + Results'!AF24</f>
        <v>-2.6433263407079698E-2</v>
      </c>
      <c r="H24" t="s">
        <v>138</v>
      </c>
      <c r="I24" s="20">
        <f>'[4]S4 Datalog + Results'!AP24-'[4]S4 Datalog + Results'!AF24</f>
        <v>2.7236696391599868E-4</v>
      </c>
      <c r="J24">
        <f>'[1]S1 Datalog+Results'!AO24-'[1]S1 Datalog+Results'!AE24</f>
        <v>8.8651321398119931E-3</v>
      </c>
      <c r="K24">
        <f>'[2]S2 Datalog + Results'!AO24-'[2]S2 Datalog + Results'!AE24</f>
        <v>-8.5231264367817972E-2</v>
      </c>
      <c r="L24">
        <f>'[3]S3 Datalog + Results'!AO24-'[3]S3 Datalog + Results'!AE24</f>
        <v>-0.51999999999999902</v>
      </c>
      <c r="M24">
        <f>'[4]S4 Datalog + Results'!AO24-'[4]S4 Datalog + Results'!AE24</f>
        <v>-1.2123769338959756E-3</v>
      </c>
      <c r="N24">
        <f>'[1]S1 Datalog+Results'!AM24-'[1]S1 Datalog+Results'!AC24</f>
        <v>-33.146739899819103</v>
      </c>
      <c r="O24">
        <f>'[2]S2 Datalog + Results'!AM24-'[2]S2 Datalog + Results'!AC24</f>
        <v>-3.2482416215949002</v>
      </c>
      <c r="P24">
        <f>'[3]S3 Datalog + Results'!AM24-'[3]S3 Datalog + Results'!AC24</f>
        <v>-70.560468117898694</v>
      </c>
      <c r="Q24">
        <f>'[4]S4 Datalog + Results'!AM24-'[4]S4 Datalog + Results'!AC24</f>
        <v>-3.1565775744536992</v>
      </c>
      <c r="R24">
        <f>'[1]S1 Datalog+Results'!AK24</f>
        <v>5</v>
      </c>
      <c r="S24">
        <f>'[2]S2 Datalog + Results'!AK24</f>
        <v>7</v>
      </c>
      <c r="T24">
        <f>'[3]S3 Datalog + Results'!AK24</f>
        <v>0</v>
      </c>
      <c r="U24">
        <f>'[4]S4 Datalog + Results'!AK24</f>
        <v>7</v>
      </c>
      <c r="V24">
        <f>'[1]S1 Datalog+Results'!S24</f>
        <v>7</v>
      </c>
      <c r="W24">
        <f>'[2]S2 Datalog + Results'!S24</f>
        <v>7</v>
      </c>
      <c r="X24">
        <f>'[3]S3 Datalog + Results'!S24</f>
        <v>5</v>
      </c>
      <c r="Y24">
        <f>'[4]S4 Datalog + Results'!S24</f>
        <v>7</v>
      </c>
      <c r="Z24">
        <f>'[1]S1 Datalog+Results'!T24-'[1]S1 Datalog+Results'!J24</f>
        <v>3.9603362907711031</v>
      </c>
      <c r="AA24">
        <f>'[2]S2 Datalog + Results'!T24-'[2]S2 Datalog + Results'!J24</f>
        <v>12.637554612369399</v>
      </c>
      <c r="AB24">
        <f>'[3]S3 Datalog + Results'!T24-'[3]S3 Datalog + Results'!J24</f>
        <v>5.5005828714375014</v>
      </c>
      <c r="AC24">
        <f>'[4]S4 Datalog + Results'!T24-'[4]S4 Datalog + Results'!J24</f>
        <v>-8.3280049805573029</v>
      </c>
      <c r="AD24">
        <f>'[1]S1 Datalog+Results'!X24-'[1]S1 Datalog+Results'!N24</f>
        <v>-1.312123401072899E-3</v>
      </c>
      <c r="AE24">
        <f>'[2]S2 Datalog + Results'!X24-'[2]S2 Datalog + Results'!N24</f>
        <v>-3.5834943350980981E-3</v>
      </c>
      <c r="AF24">
        <f>'[3]S3 Datalog + Results'!X24-'[3]S3 Datalog + Results'!N24</f>
        <v>1.1225713696064723</v>
      </c>
      <c r="AG24">
        <f>'[4]S4 Datalog + Results'!X24-'[4]S4 Datalog + Results'!N24</f>
        <v>-1.6448969522360121E-4</v>
      </c>
      <c r="AH24">
        <f>'[1]S1 Datalog+Results'!W24-'[1]S1 Datalog+Results'!M24</f>
        <v>3.2392673992673982E-2</v>
      </c>
      <c r="AI24">
        <f>'[2]S2 Datalog + Results'!W24-'[2]S2 Datalog + Results'!M24</f>
        <v>-5.1556962025316955E-2</v>
      </c>
      <c r="AJ24">
        <f>'[3]S3 Datalog + Results'!W24-'[3]S3 Datalog + Results'!M24</f>
        <v>-0.27325000000000099</v>
      </c>
      <c r="AK24">
        <f>'[4]S4 Datalog + Results'!W24-'[4]S4 Datalog + Results'!M24</f>
        <v>-1.5629029793737981E-2</v>
      </c>
      <c r="AL24">
        <f>'[1]S1 Datalog+Results'!U24-'[1]S1 Datalog+Results'!K24</f>
        <v>5.4939597794293018</v>
      </c>
      <c r="AM24">
        <f>'[2]S2 Datalog + Results'!U24-'[2]S2 Datalog + Results'!K24</f>
        <v>2.0416108034846978</v>
      </c>
      <c r="AN24">
        <f>'[3]S3 Datalog + Results'!U24-'[3]S3 Datalog + Results'!K24</f>
        <v>21.157482842157201</v>
      </c>
      <c r="AO24">
        <f>'[4]S4 Datalog + Results'!U24-'[4]S4 Datalog + Results'!K24</f>
        <v>-22.531161356592204</v>
      </c>
      <c r="AP24">
        <f>'[1]S1 Datalog+Results'!AL24-'[1]S1 Datalog+Results'!AB24</f>
        <v>-14.486488601308402</v>
      </c>
      <c r="AQ24">
        <f>'[2]S2 Datalog + Results'!AL24-'[2]S2 Datalog + Results'!AB24</f>
        <v>-0.83847397777049792</v>
      </c>
      <c r="AR24">
        <f>'[3]S3 Datalog + Results'!AL24-'[3]S3 Datalog + Results'!AB24</f>
        <v>-62.702686017302199</v>
      </c>
      <c r="AS24">
        <f>'[4]S4 Datalog + Results'!AL24-'[4]S4 Datalog + Results'!AB24</f>
        <v>-5.2876259187516936</v>
      </c>
    </row>
    <row r="25" spans="1:45">
      <c r="A25">
        <v>24</v>
      </c>
      <c r="B25" t="s">
        <v>156</v>
      </c>
      <c r="C25" s="20">
        <f>'[1]S1 Datalog+Results'!AP25-'[1]S1 Datalog+Results'!AF25</f>
        <v>1.0551076194281004E-3</v>
      </c>
      <c r="D25" t="s">
        <v>189</v>
      </c>
      <c r="E25" s="20">
        <f>'[2]S2 Datalog + Results'!AP25-'[2]S2 Datalog + Results'!AF25</f>
        <v>4.5099007956110083E-4</v>
      </c>
      <c r="F25" t="s">
        <v>119</v>
      </c>
      <c r="G25" s="20">
        <f>'[3]S3 Datalog + Results'!AP25-'[3]S3 Datalog + Results'!AF25</f>
        <v>-4.5616991638079869E-4</v>
      </c>
      <c r="H25" t="s">
        <v>138</v>
      </c>
      <c r="I25" s="20">
        <f>'[4]S4 Datalog + Results'!AP25-'[4]S4 Datalog + Results'!AF25</f>
        <v>1.7840733978315999E-3</v>
      </c>
      <c r="J25">
        <f>'[1]S1 Datalog+Results'!AO25-'[1]S1 Datalog+Results'!AE25</f>
        <v>0.10716127873563197</v>
      </c>
      <c r="K25">
        <f>'[2]S2 Datalog + Results'!AO25-'[2]S2 Datalog + Results'!AE25</f>
        <v>-5.4408333333333003E-2</v>
      </c>
      <c r="L25">
        <f>'[3]S3 Datalog + Results'!AO25-'[3]S3 Datalog + Results'!AE25</f>
        <v>-5.6985347985346935E-2</v>
      </c>
      <c r="M25">
        <f>'[4]S4 Datalog + Results'!AO25-'[4]S4 Datalog + Results'!AE25</f>
        <v>-3.9884615384614963E-2</v>
      </c>
      <c r="N25">
        <f>'[1]S1 Datalog+Results'!AM25-'[1]S1 Datalog+Results'!AC25</f>
        <v>-141.54643739562499</v>
      </c>
      <c r="O25">
        <f>'[2]S2 Datalog + Results'!AM25-'[2]S2 Datalog + Results'!AC25</f>
        <v>-66.740369515585698</v>
      </c>
      <c r="P25">
        <f>'[3]S3 Datalog + Results'!AM25-'[3]S3 Datalog + Results'!AC25</f>
        <v>-326.00755414571313</v>
      </c>
      <c r="Q25">
        <f>'[4]S4 Datalog + Results'!AM25-'[4]S4 Datalog + Results'!AC25</f>
        <v>270.32721769227402</v>
      </c>
      <c r="R25">
        <f>'[1]S1 Datalog+Results'!AK25</f>
        <v>6</v>
      </c>
      <c r="S25">
        <f>'[2]S2 Datalog + Results'!AK25</f>
        <v>6</v>
      </c>
      <c r="T25">
        <f>'[3]S3 Datalog + Results'!AK25</f>
        <v>6</v>
      </c>
      <c r="U25">
        <f>'[4]S4 Datalog + Results'!AK25</f>
        <v>6</v>
      </c>
      <c r="V25">
        <f>'[1]S1 Datalog+Results'!S25</f>
        <v>7</v>
      </c>
      <c r="W25">
        <f>'[2]S2 Datalog + Results'!S25</f>
        <v>7</v>
      </c>
      <c r="X25">
        <f>'[3]S3 Datalog + Results'!S25</f>
        <v>7</v>
      </c>
      <c r="Y25">
        <f>'[4]S4 Datalog + Results'!S25</f>
        <v>3</v>
      </c>
      <c r="Z25">
        <f>'[1]S1 Datalog+Results'!T25-'[1]S1 Datalog+Results'!J25</f>
        <v>-14.959439995960992</v>
      </c>
      <c r="AA25">
        <f>'[2]S2 Datalog + Results'!T25-'[2]S2 Datalog + Results'!J25</f>
        <v>-189.16690698623898</v>
      </c>
      <c r="AB25">
        <f>'[3]S3 Datalog + Results'!T25-'[3]S3 Datalog + Results'!J25</f>
        <v>-290.6385860059728</v>
      </c>
      <c r="AC25">
        <f>'[4]S4 Datalog + Results'!T25-'[4]S4 Datalog + Results'!J25</f>
        <v>183.44957889892501</v>
      </c>
      <c r="AD25">
        <f>'[1]S1 Datalog+Results'!X25-'[1]S1 Datalog+Results'!N25</f>
        <v>-2.1049545680975005E-3</v>
      </c>
      <c r="AE25">
        <f>'[2]S2 Datalog + Results'!X25-'[2]S2 Datalog + Results'!N25</f>
        <v>3.1981795799777991E-3</v>
      </c>
      <c r="AF25">
        <f>'[3]S3 Datalog + Results'!X25-'[3]S3 Datalog + Results'!N25</f>
        <v>3.4271209947880042E-4</v>
      </c>
      <c r="AG25">
        <f>'[4]S4 Datalog + Results'!X25-'[4]S4 Datalog + Results'!N25</f>
        <v>8.7852469244779907E-4</v>
      </c>
      <c r="AH25">
        <f>'[1]S1 Datalog+Results'!W25-'[1]S1 Datalog+Results'!M25</f>
        <v>1.5572747252747987E-2</v>
      </c>
      <c r="AI25">
        <f>'[2]S2 Datalog + Results'!W25-'[2]S2 Datalog + Results'!M25</f>
        <v>1.7475935828875966E-2</v>
      </c>
      <c r="AJ25">
        <f>'[3]S3 Datalog + Results'!W25-'[3]S3 Datalog + Results'!M25</f>
        <v>9.214846743295102E-2</v>
      </c>
      <c r="AK25">
        <f>'[4]S4 Datalog + Results'!W25-'[4]S4 Datalog + Results'!M25</f>
        <v>-2.5303119868636981E-2</v>
      </c>
      <c r="AL25">
        <f>'[1]S1 Datalog+Results'!U25-'[1]S1 Datalog+Results'!K25</f>
        <v>4.6323966456879759</v>
      </c>
      <c r="AM25">
        <f>'[2]S2 Datalog + Results'!U25-'[2]S2 Datalog + Results'!K25</f>
        <v>-274.33046888713</v>
      </c>
      <c r="AN25">
        <f>'[3]S3 Datalog + Results'!U25-'[3]S3 Datalog + Results'!K25</f>
        <v>-472.01142074552251</v>
      </c>
      <c r="AO25">
        <f>'[4]S4 Datalog + Results'!U25-'[4]S4 Datalog + Results'!K25</f>
        <v>273.67072854219094</v>
      </c>
      <c r="AP25">
        <f>'[1]S1 Datalog+Results'!AL25-'[1]S1 Datalog+Results'!AB25</f>
        <v>-107.533101719275</v>
      </c>
      <c r="AQ25">
        <f>'[2]S2 Datalog + Results'!AL25-'[2]S2 Datalog + Results'!AB25</f>
        <v>-43.456601649167702</v>
      </c>
      <c r="AR25">
        <f>'[3]S3 Datalog + Results'!AL25-'[3]S3 Datalog + Results'!AB25</f>
        <v>-356.92377585876437</v>
      </c>
      <c r="AS25">
        <f>'[4]S4 Datalog + Results'!AL25-'[4]S4 Datalog + Results'!AB25</f>
        <v>161.990850115385</v>
      </c>
    </row>
    <row r="26" spans="1:45">
      <c r="A26">
        <v>25</v>
      </c>
      <c r="B26" t="s">
        <v>138</v>
      </c>
      <c r="C26" s="20">
        <f>'[1]S1 Datalog+Results'!AP26-'[1]S1 Datalog+Results'!AF26</f>
        <v>1.3069268218790162E-4</v>
      </c>
      <c r="D26" t="s">
        <v>334</v>
      </c>
      <c r="E26" s="20">
        <f>'[2]S2 Datalog + Results'!AP26-'[2]S2 Datalog + Results'!AF26</f>
        <v>-3.5537992223640125E-4</v>
      </c>
      <c r="F26" t="s">
        <v>156</v>
      </c>
      <c r="G26" s="20">
        <f>'[3]S3 Datalog + Results'!AP26-'[3]S3 Datalog + Results'!AF26</f>
        <v>-6.0252779195600105E-4</v>
      </c>
      <c r="H26" t="s">
        <v>189</v>
      </c>
      <c r="I26" s="20">
        <f>'[4]S4 Datalog + Results'!AP26-'[4]S4 Datalog + Results'!AF26</f>
        <v>2.8048833978979934E-4</v>
      </c>
      <c r="J26">
        <f>'[1]S1 Datalog+Results'!AO26-'[1]S1 Datalog+Results'!AE26</f>
        <v>2.4449796778565014E-2</v>
      </c>
      <c r="K26">
        <f>'[2]S2 Datalog + Results'!AO26-'[2]S2 Datalog + Results'!AE26</f>
        <v>-7.0438795986624059E-2</v>
      </c>
      <c r="L26">
        <f>'[3]S3 Datalog + Results'!AO26-'[3]S3 Datalog + Results'!AE26</f>
        <v>9.0486111111110989E-2</v>
      </c>
      <c r="M26">
        <f>'[4]S4 Datalog + Results'!AO26-'[4]S4 Datalog + Results'!AE26</f>
        <v>-1.8792756539235067E-2</v>
      </c>
      <c r="N26">
        <f>'[1]S1 Datalog+Results'!AM26-'[1]S1 Datalog+Results'!AC26</f>
        <v>-37.781623606113982</v>
      </c>
      <c r="O26">
        <f>'[2]S2 Datalog + Results'!AM26-'[2]S2 Datalog + Results'!AC26</f>
        <v>263.59610342958803</v>
      </c>
      <c r="P26">
        <f>'[3]S3 Datalog + Results'!AM26-'[3]S3 Datalog + Results'!AC26</f>
        <v>39.548057196546011</v>
      </c>
      <c r="Q26">
        <f>'[4]S4 Datalog + Results'!AM26-'[4]S4 Datalog + Results'!AC26</f>
        <v>42.767811404889983</v>
      </c>
      <c r="R26">
        <f>'[1]S1 Datalog+Results'!AK26</f>
        <v>6</v>
      </c>
      <c r="S26">
        <f>'[2]S2 Datalog + Results'!AK26</f>
        <v>6</v>
      </c>
      <c r="T26">
        <f>'[3]S3 Datalog + Results'!AK26</f>
        <v>6</v>
      </c>
      <c r="U26">
        <f>'[4]S4 Datalog + Results'!AK26</f>
        <v>6</v>
      </c>
      <c r="V26">
        <f>'[1]S1 Datalog+Results'!S26</f>
        <v>5</v>
      </c>
      <c r="W26">
        <f>'[2]S2 Datalog + Results'!S26</f>
        <v>8</v>
      </c>
      <c r="X26">
        <f>'[3]S3 Datalog + Results'!S26</f>
        <v>8</v>
      </c>
      <c r="Y26">
        <f>'[4]S4 Datalog + Results'!S26</f>
        <v>8</v>
      </c>
      <c r="Z26">
        <f>'[1]S1 Datalog+Results'!T26-'[1]S1 Datalog+Results'!J26</f>
        <v>-57.302572646352985</v>
      </c>
      <c r="AA26">
        <f>'[2]S2 Datalog + Results'!T26-'[2]S2 Datalog + Results'!J26</f>
        <v>295.41321701908396</v>
      </c>
      <c r="AB26">
        <f>'[3]S3 Datalog + Results'!T26-'[3]S3 Datalog + Results'!J26</f>
        <v>-36.509614283643998</v>
      </c>
      <c r="AC26">
        <f>'[4]S4 Datalog + Results'!T26-'[4]S4 Datalog + Results'!J26</f>
        <v>-388.90872965260098</v>
      </c>
      <c r="AD26">
        <f>'[1]S1 Datalog+Results'!X26-'[1]S1 Datalog+Results'!N26</f>
        <v>-3.8638713187322989E-3</v>
      </c>
      <c r="AE26">
        <f>'[2]S2 Datalog + Results'!X26-'[2]S2 Datalog + Results'!N26</f>
        <v>-2.9074390710237021E-3</v>
      </c>
      <c r="AF26">
        <f>'[3]S3 Datalog + Results'!X26-'[3]S3 Datalog + Results'!N26</f>
        <v>-2.0145733982844995E-3</v>
      </c>
      <c r="AG26">
        <f>'[4]S4 Datalog + Results'!X26-'[4]S4 Datalog + Results'!N26</f>
        <v>-1.1536732489409937E-4</v>
      </c>
      <c r="AH26">
        <f>'[1]S1 Datalog+Results'!W26-'[1]S1 Datalog+Results'!M26</f>
        <v>-9.2141176470589836E-3</v>
      </c>
      <c r="AI26">
        <f>'[2]S2 Datalog + Results'!W26-'[2]S2 Datalog + Results'!M26</f>
        <v>-8.9234567901229633E-3</v>
      </c>
      <c r="AJ26">
        <f>'[3]S3 Datalog + Results'!W26-'[3]S3 Datalog + Results'!M26</f>
        <v>1.6072674418604938E-2</v>
      </c>
      <c r="AK26">
        <f>'[4]S4 Datalog + Results'!W26-'[4]S4 Datalog + Results'!M26</f>
        <v>6.0146568954039248E-3</v>
      </c>
      <c r="AL26">
        <f>'[1]S1 Datalog+Results'!U26-'[1]S1 Datalog+Results'!K26</f>
        <v>-75.735223029709999</v>
      </c>
      <c r="AM26">
        <f>'[2]S2 Datalog + Results'!U26-'[2]S2 Datalog + Results'!K26</f>
        <v>-228.762821654719</v>
      </c>
      <c r="AN26">
        <f>'[3]S3 Datalog + Results'!U26-'[3]S3 Datalog + Results'!K26</f>
        <v>-87.817778760064982</v>
      </c>
      <c r="AO26">
        <f>'[4]S4 Datalog + Results'!U26-'[4]S4 Datalog + Results'!K26</f>
        <v>-550</v>
      </c>
      <c r="AP26">
        <f>'[1]S1 Datalog+Results'!AL26-'[1]S1 Datalog+Results'!AB26</f>
        <v>-16.908235332040306</v>
      </c>
      <c r="AQ26">
        <f>'[2]S2 Datalog + Results'!AL26-'[2]S2 Datalog + Results'!AB26</f>
        <v>119.28996500454696</v>
      </c>
      <c r="AR26">
        <f>'[3]S3 Datalog + Results'!AL26-'[3]S3 Datalog + Results'!AB26</f>
        <v>43.753600219798983</v>
      </c>
      <c r="AS26">
        <f>'[4]S4 Datalog + Results'!AL26-'[4]S4 Datalog + Results'!AB26</f>
        <v>30.542398043071998</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U29"/>
  <sheetViews>
    <sheetView topLeftCell="CK1" zoomScale="80" zoomScaleNormal="80" workbookViewId="0">
      <selection activeCell="CL1" sqref="CL1:CL1048576"/>
    </sheetView>
  </sheetViews>
  <sheetFormatPr defaultRowHeight="14.25"/>
  <cols>
    <col min="2" max="2" width="30" style="21" customWidth="1"/>
    <col min="3" max="3" width="29.125" customWidth="1"/>
    <col min="4" max="5" width="33.125" customWidth="1"/>
    <col min="6" max="6" width="36.25" customWidth="1"/>
    <col min="7" max="7" width="25.875" customWidth="1"/>
    <col min="8" max="8" width="26.25" customWidth="1"/>
    <col min="9" max="9" width="31.25" customWidth="1"/>
    <col min="10" max="10" width="31.375" customWidth="1"/>
    <col min="11" max="11" width="32.125" customWidth="1"/>
    <col min="12" max="12" width="24.5" customWidth="1"/>
    <col min="13" max="13" width="24" customWidth="1"/>
    <col min="14" max="14" width="29.5" customWidth="1"/>
    <col min="15" max="15" width="23.375" customWidth="1"/>
    <col min="16" max="16" width="23.125" customWidth="1"/>
    <col min="17" max="17" width="21.125" customWidth="1"/>
    <col min="18" max="18" width="22.25" customWidth="1"/>
    <col min="19" max="19" width="27.625" customWidth="1"/>
    <col min="20" max="20" width="26.5" customWidth="1"/>
    <col min="21" max="21" width="28.125" customWidth="1"/>
    <col min="22" max="22" width="27.25" customWidth="1"/>
    <col min="23" max="23" width="21.5" customWidth="1"/>
    <col min="24" max="24" width="27.5" customWidth="1"/>
    <col min="25" max="25" width="26.125" customWidth="1"/>
    <col min="26" max="26" width="25.5" customWidth="1"/>
    <col min="27" max="27" width="17.25" customWidth="1"/>
    <col min="28" max="28" width="17" customWidth="1"/>
    <col min="29" max="29" width="22.25" customWidth="1"/>
    <col min="30" max="30" width="21.125" customWidth="1"/>
    <col min="31" max="31" width="26.75" customWidth="1"/>
    <col min="32" max="32" width="31" customWidth="1"/>
    <col min="33" max="33" width="30.375" customWidth="1"/>
    <col min="34" max="35" width="25.25" customWidth="1"/>
    <col min="36" max="36" width="30.625" customWidth="1"/>
    <col min="37" max="37" width="29.375" customWidth="1"/>
    <col min="38" max="38" width="17.875" customWidth="1"/>
    <col min="39" max="39" width="21.375" customWidth="1"/>
    <col min="40" max="40" width="23.625" customWidth="1"/>
    <col min="41" max="41" width="22.125" customWidth="1"/>
    <col min="42" max="42" width="23.375" customWidth="1"/>
    <col min="43" max="43" width="21.5" customWidth="1"/>
    <col min="44" max="44" width="21.375" customWidth="1"/>
    <col min="45" max="45" width="30.25" customWidth="1"/>
    <col min="46" max="46" width="28.5" customWidth="1"/>
    <col min="47" max="47" width="16.875" customWidth="1"/>
    <col min="48" max="48" width="19" customWidth="1"/>
    <col min="49" max="49" width="23.625" customWidth="1"/>
    <col min="50" max="50" width="16.125" customWidth="1"/>
    <col min="51" max="51" width="15.75" customWidth="1"/>
    <col min="52" max="52" width="21.5" customWidth="1"/>
    <col min="53" max="53" width="20.75" customWidth="1"/>
    <col min="54" max="54" width="24.5" customWidth="1"/>
    <col min="55" max="55" width="25.125" customWidth="1"/>
    <col min="56" max="56" width="30.625" customWidth="1"/>
    <col min="57" max="57" width="30" customWidth="1"/>
    <col min="58" max="58" width="24.75" customWidth="1"/>
    <col min="59" max="59" width="23.875" customWidth="1"/>
    <col min="60" max="60" width="29.875" customWidth="1"/>
    <col min="61" max="61" width="28" customWidth="1"/>
    <col min="62" max="62" width="17.25" customWidth="1"/>
    <col min="63" max="63" width="16.875" customWidth="1"/>
    <col min="64" max="64" width="23.75" customWidth="1"/>
    <col min="65" max="65" width="22" customWidth="1"/>
    <col min="66" max="66" width="16.5" customWidth="1"/>
    <col min="67" max="67" width="17.375" customWidth="1"/>
    <col min="68" max="68" width="23.375" customWidth="1"/>
    <col min="69" max="69" width="21.5" customWidth="1"/>
    <col min="70" max="70" width="30.75" customWidth="1"/>
    <col min="71" max="71" width="25.75" customWidth="1"/>
    <col min="72" max="72" width="28.25" customWidth="1"/>
    <col min="73" max="74" width="26.25" customWidth="1"/>
    <col min="75" max="75" width="25.625" customWidth="1"/>
    <col min="76" max="76" width="38.625" customWidth="1"/>
    <col min="77" max="77" width="33.25" customWidth="1"/>
    <col min="78" max="78" width="27" customWidth="1"/>
    <col min="79" max="79" width="24.625" customWidth="1"/>
    <col min="80" max="80" width="30" customWidth="1"/>
    <col min="81" max="81" width="29.375" customWidth="1"/>
    <col min="82" max="82" width="19.5" customWidth="1"/>
    <col min="83" max="83" width="20.5" customWidth="1"/>
    <col min="84" max="84" width="29.5" customWidth="1"/>
    <col min="85" max="85" width="22.875" customWidth="1"/>
    <col min="86" max="86" width="17.375" customWidth="1"/>
    <col min="87" max="87" width="18.875" customWidth="1"/>
    <col min="88" max="89" width="18" customWidth="1"/>
    <col min="90" max="90" width="18.5" customWidth="1"/>
    <col min="91" max="91" width="14.875" customWidth="1"/>
    <col min="92" max="92" width="19.375" customWidth="1"/>
    <col min="93" max="93" width="17.625" customWidth="1"/>
    <col min="94" max="95" width="22.5" customWidth="1"/>
    <col min="96" max="96" width="19.375" customWidth="1"/>
    <col min="97" max="97" width="26.375" customWidth="1"/>
    <col min="98" max="98" width="26.5" customWidth="1"/>
    <col min="99" max="99" width="13.875" customWidth="1"/>
  </cols>
  <sheetData>
    <row r="1" spans="1:99">
      <c r="A1" t="s">
        <v>0</v>
      </c>
      <c r="B1" s="30" t="s">
        <v>795</v>
      </c>
      <c r="C1" s="29" t="s">
        <v>796</v>
      </c>
      <c r="D1" s="29" t="s">
        <v>797</v>
      </c>
      <c r="E1" s="29" t="s">
        <v>798</v>
      </c>
      <c r="F1" s="29" t="s">
        <v>838</v>
      </c>
      <c r="G1" s="29" t="s">
        <v>839</v>
      </c>
      <c r="H1" s="29" t="s">
        <v>840</v>
      </c>
      <c r="I1" s="29" t="s">
        <v>841</v>
      </c>
      <c r="J1" s="29" t="s">
        <v>842</v>
      </c>
      <c r="K1" s="29" t="s">
        <v>843</v>
      </c>
      <c r="L1" s="29" t="s">
        <v>844</v>
      </c>
      <c r="M1" s="29" t="s">
        <v>845</v>
      </c>
      <c r="N1" s="29" t="s">
        <v>846</v>
      </c>
      <c r="O1" s="29" t="s">
        <v>847</v>
      </c>
      <c r="P1" s="29" t="s">
        <v>848</v>
      </c>
      <c r="Q1" s="22" t="s">
        <v>871</v>
      </c>
      <c r="R1" s="22" t="s">
        <v>872</v>
      </c>
      <c r="S1" s="22" t="s">
        <v>873</v>
      </c>
      <c r="T1" s="22" t="s">
        <v>874</v>
      </c>
      <c r="U1" s="22" t="s">
        <v>875</v>
      </c>
      <c r="V1" s="27" t="s">
        <v>876</v>
      </c>
      <c r="W1" s="28" t="s">
        <v>877</v>
      </c>
      <c r="X1" s="28" t="s">
        <v>878</v>
      </c>
      <c r="Y1" s="28" t="s">
        <v>879</v>
      </c>
      <c r="Z1" s="27" t="s">
        <v>880</v>
      </c>
      <c r="AA1" s="29" t="s">
        <v>811</v>
      </c>
      <c r="AB1" s="29" t="s">
        <v>812</v>
      </c>
      <c r="AC1" s="29" t="s">
        <v>813</v>
      </c>
      <c r="AD1" s="29" t="s">
        <v>814</v>
      </c>
      <c r="AE1" s="29" t="s">
        <v>849</v>
      </c>
      <c r="AF1" s="29" t="s">
        <v>789</v>
      </c>
      <c r="AG1" s="29" t="s">
        <v>790</v>
      </c>
      <c r="AH1" s="29" t="s">
        <v>791</v>
      </c>
      <c r="AI1" s="29" t="s">
        <v>792</v>
      </c>
      <c r="AJ1" s="29" t="s">
        <v>793</v>
      </c>
      <c r="AK1" s="29" t="s">
        <v>794</v>
      </c>
      <c r="AL1" s="29" t="s">
        <v>865</v>
      </c>
      <c r="AM1" s="29" t="s">
        <v>866</v>
      </c>
      <c r="AN1" s="29" t="s">
        <v>867</v>
      </c>
      <c r="AO1" s="29" t="s">
        <v>850</v>
      </c>
      <c r="AP1" s="29" t="s">
        <v>851</v>
      </c>
      <c r="AQ1" s="29" t="s">
        <v>852</v>
      </c>
      <c r="AR1" s="29" t="s">
        <v>835</v>
      </c>
      <c r="AS1" s="29" t="s">
        <v>836</v>
      </c>
      <c r="AT1" s="29" t="s">
        <v>837</v>
      </c>
      <c r="AU1" s="29" t="s">
        <v>868</v>
      </c>
      <c r="AV1" s="29" t="s">
        <v>869</v>
      </c>
      <c r="AW1" s="29" t="s">
        <v>870</v>
      </c>
      <c r="AX1" s="23" t="s">
        <v>855</v>
      </c>
      <c r="AY1" s="23" t="s">
        <v>856</v>
      </c>
      <c r="AZ1" s="23" t="s">
        <v>857</v>
      </c>
      <c r="BA1" s="23" t="s">
        <v>858</v>
      </c>
      <c r="BB1" s="24" t="s">
        <v>799</v>
      </c>
      <c r="BC1" s="25" t="s">
        <v>800</v>
      </c>
      <c r="BD1" s="25" t="s">
        <v>801</v>
      </c>
      <c r="BE1" s="25" t="s">
        <v>802</v>
      </c>
      <c r="BF1" s="25" t="s">
        <v>803</v>
      </c>
      <c r="BG1" s="25" t="s">
        <v>804</v>
      </c>
      <c r="BH1" s="25" t="s">
        <v>805</v>
      </c>
      <c r="BI1" s="25" t="s">
        <v>806</v>
      </c>
      <c r="BJ1" s="25" t="s">
        <v>807</v>
      </c>
      <c r="BK1" s="25" t="s">
        <v>808</v>
      </c>
      <c r="BL1" s="25" t="s">
        <v>809</v>
      </c>
      <c r="BM1" s="25" t="s">
        <v>810</v>
      </c>
      <c r="BN1" s="25" t="s">
        <v>859</v>
      </c>
      <c r="BO1" s="25" t="s">
        <v>860</v>
      </c>
      <c r="BP1" s="25" t="s">
        <v>861</v>
      </c>
      <c r="BQ1" s="25" t="s">
        <v>862</v>
      </c>
      <c r="BR1" s="25" t="s">
        <v>819</v>
      </c>
      <c r="BS1" s="25" t="s">
        <v>815</v>
      </c>
      <c r="BT1" s="25" t="s">
        <v>816</v>
      </c>
      <c r="BU1" s="25" t="s">
        <v>817</v>
      </c>
      <c r="BV1" s="25" t="s">
        <v>820</v>
      </c>
      <c r="BW1" s="25" t="s">
        <v>818</v>
      </c>
      <c r="BX1" s="25" t="s">
        <v>821</v>
      </c>
      <c r="BY1" s="25" t="s">
        <v>822</v>
      </c>
      <c r="BZ1" s="25" t="s">
        <v>823</v>
      </c>
      <c r="CA1" s="25" t="s">
        <v>824</v>
      </c>
      <c r="CB1" s="25" t="s">
        <v>825</v>
      </c>
      <c r="CC1" s="25" t="s">
        <v>826</v>
      </c>
      <c r="CD1" s="25" t="s">
        <v>863</v>
      </c>
      <c r="CE1" s="25" t="s">
        <v>853</v>
      </c>
      <c r="CF1" s="25" t="s">
        <v>854</v>
      </c>
      <c r="CG1" s="25" t="s">
        <v>864</v>
      </c>
      <c r="CH1" s="25" t="s">
        <v>828</v>
      </c>
      <c r="CI1" s="29" t="s">
        <v>827</v>
      </c>
      <c r="CJ1" s="29" t="s">
        <v>829</v>
      </c>
      <c r="CK1" s="29" t="s">
        <v>830</v>
      </c>
      <c r="CL1" s="29" t="s">
        <v>831</v>
      </c>
      <c r="CM1" s="29" t="s">
        <v>832</v>
      </c>
      <c r="CN1" s="29" t="s">
        <v>833</v>
      </c>
      <c r="CO1" s="29" t="s">
        <v>834</v>
      </c>
      <c r="CP1" s="29" t="s">
        <v>881</v>
      </c>
      <c r="CQ1" s="29" t="s">
        <v>882</v>
      </c>
      <c r="CR1" s="25" t="s">
        <v>885</v>
      </c>
      <c r="CS1" s="29" t="s">
        <v>883</v>
      </c>
      <c r="CT1" s="29" t="s">
        <v>884</v>
      </c>
      <c r="CU1" s="29" t="s">
        <v>886</v>
      </c>
    </row>
    <row r="2" spans="1:99">
      <c r="A2">
        <v>1</v>
      </c>
      <c r="B2" s="21">
        <f>IF(guodubiaoge!$B2="Te0",[5]guodubiaoge!$C2,
IF(guodubiaoge!$D2="Te0",[5]guodubiaoge!$E2,
IF(guodubiaoge!$F2="Te0",[5]guodubiaoge!$G2,
IF(guodubiaoge!$H2="Te0",[5]guodubiaoge!$I2,""))))</f>
        <v>2.6321412860472498E-5</v>
      </c>
      <c r="C2">
        <f>IF(guodubiaoge!$B2="Te0+HF+6",[5]guodubiaoge!$C2,
IF(guodubiaoge!$D2="Te0+HF+6",[5]guodubiaoge!$E2,
IF(guodubiaoge!$F2="Te0+HF+6",[5]guodubiaoge!$G2,
IF(guodubiaoge!$H2="Te0+HF+6",[5]guodubiaoge!$I2,""))))</f>
        <v>4.5089617833620502E-4</v>
      </c>
      <c r="D2" t="str">
        <f>IF(guodubiaoge!$B2="Te0+Sim+10",[5]guodubiaoge!$C2,
IF(guodubiaoge!$D2="Te0+Sim+10",[5]guodubiaoge!$E2,
IF(guodubiaoge!$F2="Te0+Sim+10",[5]guodubiaoge!$G2,
IF(guodubiaoge!$H2="Te0+Sim+10",[5]guodubiaoge!$I2,""))))</f>
        <v/>
      </c>
      <c r="E2">
        <f>IF(guodubiaoge!$B2="Te0+SL+10",[5]guodubiaoge!$C2,
IF(guodubiaoge!$D2="Te0+SL+10",[5]guodubiaoge!$E2,
IF(guodubiaoge!$F2="Te0+SL+10",[5]guodubiaoge!$G2,
IF(guodubiaoge!$H2="Te0+SL+10",[5]guodubiaoge!$I2,""))))</f>
        <v>-2.3132096121550999E-4</v>
      </c>
      <c r="F2">
        <f>IF(guodubiaoge!$B2="Te0-10",[5]guodubiaoge!$C2,
IF(guodubiaoge!$D2="Te0-10",[5]guodubiaoge!$E2,
IF(guodubiaoge!$F2="Te0-10",[5]guodubiaoge!$G2,
IF(guodubiaoge!$H2="Te0-10",[5]guodubiaoge!$I2,""))))</f>
        <v>1.86564710442119E-3</v>
      </c>
      <c r="G2">
        <f>IF(guodubiaoge!$B2="Te0",[5]guodubiaoge!$J2,
IF(guodubiaoge!$D2="Te0",[5]guodubiaoge!$K2,
IF(guodubiaoge!$F2="Te0",[5]guodubiaoge!$L2,
IF(guodubiaoge!$H2="Te0",[5]guodubiaoge!$M2,""))))</f>
        <v>1.6238286479249901E-2</v>
      </c>
      <c r="H2">
        <f>IF(guodubiaoge!$B2="Te0+HF+6",[5]guodubiaoge!$J2,
IF(guodubiaoge!$D2="Te0+HF+6",[5]guodubiaoge!$K2,
IF(guodubiaoge!$F2="Te0+HF+6",[5]guodubiaoge!$L2,
IF(guodubiaoge!$H2="Te0+HF+6",[5]guodubiaoge!$M2,""))))</f>
        <v>-3.9425010386373201E-2</v>
      </c>
      <c r="I2" t="str">
        <f>IF(guodubiaoge!$B2="Te0+Sim+10",[5]guodubiaoge!$J2,
IF(guodubiaoge!$D2="Te0+Sim+10",[5]guodubiaoge!$K2,
IF(guodubiaoge!$F2="Te0+Sim+10",[5]guodubiaoge!$L2,
IF(guodubiaoge!$H2="Te0+Sim+10",[5]guodubiaoge!$M2,""))))</f>
        <v/>
      </c>
      <c r="J2">
        <f>IF(guodubiaoge!$B2="Te0+SL+10",[5]guodubiaoge!$J2,
IF(guodubiaoge!$D2="Te0+SL+10",[5]guodubiaoge!$K2,
IF(guodubiaoge!$F2="Te0+SL+10",[5]guodubiaoge!$L2,
IF(guodubiaoge!$H2="Te0+SL+10",[5]guodubiaoge!$M2,""))))</f>
        <v>-3.5515348082937499E-2</v>
      </c>
      <c r="K2">
        <f>IF(guodubiaoge!$B2="Te0-10",[5]guodubiaoge!$J2,
IF(guodubiaoge!$D2="Te0-10",[5]guodubiaoge!$K2,
IF(guodubiaoge!$F2="Te0-10",[5]guodubiaoge!$L2,
IF(guodubiaoge!$H2="Te0-10",[5]guodubiaoge!$M2,""))))</f>
        <v>2.3265941816044099E-2</v>
      </c>
      <c r="L2">
        <f>IF(guodubiaoge!$B2="Te0",[5]guodubiaoge!$N2,
IF(guodubiaoge!$D2="Te0",[5]guodubiaoge!$O2,
IF(guodubiaoge!$F2="Te0",[5]guodubiaoge!$P2,
IF(guodubiaoge!$H2="Te0",[5]guodubiaoge!$Q2,""))))</f>
        <v>-202.37676442352699</v>
      </c>
      <c r="M2">
        <f>IF(guodubiaoge!$B2="Te0+HF+6",[5]guodubiaoge!$N2,
IF(guodubiaoge!$D2="Te0+HF+6",[5]guodubiaoge!$O2,
IF(guodubiaoge!$F2="Te0+HF+6",[5]guodubiaoge!$P2,
IF(guodubiaoge!$H2="Te0+HF+6",[5]guodubiaoge!$Q2,""))))</f>
        <v>10.6882197571675</v>
      </c>
      <c r="N2" t="str">
        <f>IF(guodubiaoge!$B2="Te0+Sim+10",[5]guodubiaoge!$N2,
IF(guodubiaoge!$D2="Te0+Sim+10",[5]guodubiaoge!$O2,
IF(guodubiaoge!$F2="Te0+Sim+10",[5]guodubiaoge!$P2,
IF(guodubiaoge!$H2="Te0+Sim+10",[5]guodubiaoge!$Q2,""))))</f>
        <v/>
      </c>
      <c r="O2">
        <f>IF(guodubiaoge!$B2="Te0+SL+10",[5]guodubiaoge!$N2,
IF(guodubiaoge!$D2="Te0+SL+10",[5]guodubiaoge!$O2,
IF(guodubiaoge!$F2="Te0+SL+10",[5]guodubiaoge!$P2,
IF(guodubiaoge!$H2="Te0+SL+10",[5]guodubiaoge!$Q2,""))))</f>
        <v>-23.727183341888299</v>
      </c>
      <c r="P2">
        <f>IF(guodubiaoge!$B2="Te0-10",[5]guodubiaoge!$N2,
IF(guodubiaoge!$D2="Te0-10",[5]guodubiaoge!$O2,
IF(guodubiaoge!$F2="Te0-10",[5]guodubiaoge!$P2,
IF(guodubiaoge!$H2="Te0-10",[5]guodubiaoge!$Q2,""))))</f>
        <v>17.079080016421599</v>
      </c>
      <c r="Q2">
        <f>IF(guodubiaoge!$B2="Te0",[5]guodubiaoge!$R2,
IF(guodubiaoge!$D2="Te0",[5]guodubiaoge!$S2,
IF(guodubiaoge!$F2="Te0",[5]guodubiaoge!$T2,
IF(guodubiaoge!$H2="Te0",[5]guodubiaoge!$U2,""))))</f>
        <v>4</v>
      </c>
      <c r="R2">
        <f>IF(guodubiaoge!$B2="Te0+HF+6",[5]guodubiaoge!$R2,
IF(guodubiaoge!$D2="Te0+HF+6",[5]guodubiaoge!$S2,
IF(guodubiaoge!$F2="Te0+HF+6",[5]guodubiaoge!$T2,
IF(guodubiaoge!$H2="Te0+HF+6",[5]guodubiaoge!$U2,""))))</f>
        <v>7</v>
      </c>
      <c r="S2" t="str">
        <f>IF(guodubiaoge!$B2="Te0+Sim+10",[5]guodubiaoge!$R2,
IF(guodubiaoge!$D2="Te0+Sim+10",[5]guodubiaoge!$S2,
IF(guodubiaoge!$F2="Te0+Sim+10",[5]guodubiaoge!$T2,
IF(guodubiaoge!$H2="Te0+Sim+10",[5]guodubiaoge!$U2,""))))</f>
        <v/>
      </c>
      <c r="T2">
        <f>IF(guodubiaoge!$B2="Te0+SL+10",[5]guodubiaoge!$R2,
IF(guodubiaoge!$D2="Te0+SL+10",[5]guodubiaoge!$S2,
IF(guodubiaoge!$F2="Te0+SL+10",[5]guodubiaoge!$T2,
IF(guodubiaoge!$H2="Te0+SL+10",[5]guodubiaoge!$U2,""))))</f>
        <v>7</v>
      </c>
      <c r="U2">
        <f>IF(guodubiaoge!$B2="Te0-10",[5]guodubiaoge!$R2,
IF(guodubiaoge!$D2="Te0-10",[5]guodubiaoge!$S2,
IF(guodubiaoge!$F2="Te0-10",[5]guodubiaoge!$T2,
IF(guodubiaoge!$H2="Te0-10",[5]guodubiaoge!$U2,""))))</f>
        <v>7</v>
      </c>
      <c r="V2">
        <f>IF(guodubiaoge!$B2="Te0",[5]guodubiaoge!$V2,
IF(guodubiaoge!$D2="Te0",[5]guodubiaoge!$W2,
IF(guodubiaoge!$F2="Te0",[5]guodubiaoge!$X2,
IF(guodubiaoge!$H2="Te0",[5]guodubiaoge!$Y2,""))))</f>
        <v>4</v>
      </c>
      <c r="W2">
        <f>IF(guodubiaoge!$B2="Te0+HF+6",[5]guodubiaoge!$V2,
IF(guodubiaoge!$D2="Te0+HF+6",[5]guodubiaoge!$W2,
IF(guodubiaoge!$F2="Te0+HF+6",[5]guodubiaoge!$X2,
IF(guodubiaoge!$H2="Te0+HF+6",[5]guodubiaoge!$Y2,""))))</f>
        <v>7</v>
      </c>
      <c r="X2" t="str">
        <f>IF(guodubiaoge!$B2="Te0+Sim+10",[5]guodubiaoge!$V2,
IF(guodubiaoge!$D2="Te0+Sim+10",[5]guodubiaoge!$W2,
IF(guodubiaoge!$F2="Te0+Sim+10",[5]guodubiaoge!$X2,
IF(guodubiaoge!$H2="Te0+Sim+10",[5]guodubiaoge!$Y2,""))))</f>
        <v/>
      </c>
      <c r="Y2">
        <f>IF(guodubiaoge!$B2="Te0+SL+10",[5]guodubiaoge!$U2,
IF(guodubiaoge!$D2="Te0+SL+10",[5]guodubiaoge!$W2,
IF(guodubiaoge!$F2="Te0+SL+10",[5]guodubiaoge!$X2,
IF(guodubiaoge!$H2="Te0+SL+10",[5]guodubiaoge!$Y2,""))))</f>
        <v>7</v>
      </c>
      <c r="Z2">
        <f>IF(guodubiaoge!$B2="Te0-10",[5]guodubiaoge!$U2,
IF(guodubiaoge!$D2="Te0-10",[5]guodubiaoge!$W2,
IF(guodubiaoge!$F2="Te0-10",[5]guodubiaoge!$X2,
IF(guodubiaoge!$H2="Te0-10",[5]guodubiaoge!$Y2,""))))</f>
        <v>6</v>
      </c>
      <c r="AA2">
        <f>IF(guodubiaoge!$B2="Te0",[5]guodubiaoge!$Z2,
IF(guodubiaoge!$D2="Te0",[5]guodubiaoge!$AA2,
IF(guodubiaoge!$F2="Te0",[5]guodubiaoge!$AB2,
IF(guodubiaoge!$H2="Te0",[5]guodubiaoge!$AC2,""))))</f>
        <v>-249.63133103368301</v>
      </c>
      <c r="AB2">
        <f>IF(guodubiaoge!$B2="Te0+HF+6",[5]guodubiaoge!$Z2,
IF(guodubiaoge!$D2="Te0+HF+6",[5]guodubiaoge!$AA2,
IF(guodubiaoge!$F2="Te0+HF+6",[5]guodubiaoge!$AB2,
IF(guodubiaoge!$H2="Te0+HF+6",[5]guodubiaoge!$AC2,""))))</f>
        <v>-56.582304439265002</v>
      </c>
      <c r="AC2" t="str">
        <f>IF(guodubiaoge!$B2="Te0+Sim+10",[5]guodubiaoge!$Z2,
IF(guodubiaoge!$D2="Te0+Sim+10",[5]guodubiaoge!$AA2,
IF(guodubiaoge!$F2="Te0+Sim+10",[5]guodubiaoge!$AB2,
IF(guodubiaoge!$H2="Te0+Sim+10",[5]guodubiaoge!$AC2,""))))</f>
        <v/>
      </c>
      <c r="AD2">
        <f>IF(guodubiaoge!$B2="Te0+SL+10",[5]guodubiaoge!$Z2,
IF(guodubiaoge!$D2="Te0+SL+10",[5]guodubiaoge!$AA2,
IF(guodubiaoge!$F2="Te0+SL+10",[5]guodubiaoge!$AB2,
IF(guodubiaoge!$H2="Te0+SL+10",[5]guodubiaoge!$AC2,""))))</f>
        <v>-43.4573689791481</v>
      </c>
      <c r="AE2">
        <f>IF(guodubiaoge!$B2="Te0-10",[5]guodubiaoge!$Z2,
IF(guodubiaoge!$D2="Te0-10",[5]guodubiaoge!$AA2,
IF(guodubiaoge!$F2="Te0-10",[5]guodubiaoge!$AB2,
IF(guodubiaoge!$H2="Te0-10",[5]guodubiaoge!$AC2,""))))</f>
        <v>113.985860540234</v>
      </c>
      <c r="AF2">
        <f>(C2-AVERAGE($C$2:$C$26))/_xlfn.STDEV.S($C$2:$C$26)</f>
        <v>-0.10628244117204537</v>
      </c>
      <c r="AG2" t="str">
        <f>IF(D2="","",(D2-AVERAGE($D$2:$D$26))/_xlfn.STDEV.S($D$2:$D$26))</f>
        <v/>
      </c>
      <c r="AH2">
        <f>IF(E2="","",(E2-AVERAGE($E$2:$E$26))/_xlfn.STDEV.S($E$2:$E$26))</f>
        <v>8.5242235051979462E-2</v>
      </c>
      <c r="AI2">
        <f>IF(H2="","",(H2-AVERAGE($H$2:$H$26))/_xlfn.STDEV.S($H$2:$H$26))</f>
        <v>-0.58775394140362647</v>
      </c>
      <c r="AJ2" t="str">
        <f>IF(I2="","",(I2-AVERAGE($I$2:$I$26))/_xlfn.STDEV.S($I$2:$I$26))</f>
        <v/>
      </c>
      <c r="AK2">
        <f>IF(J2="","",(J2-AVERAGE($J$2:$J$26))/_xlfn.STDEV.S($J$2:$J$26))</f>
        <v>0.11302760879695523</v>
      </c>
      <c r="AL2">
        <f>AF2+AI2</f>
        <v>-0.6940363825756718</v>
      </c>
      <c r="AM2" t="str">
        <f>IF(I2="","",AG2+AJ2)</f>
        <v/>
      </c>
      <c r="AN2">
        <f>IF(J2="","",AH2+AK2)</f>
        <v>0.1982698438489347</v>
      </c>
      <c r="AO2">
        <f>(M2-AVERAGE($M$2:$M$26))/_xlfn.STDEV.S($M$2:$M$26)</f>
        <v>-1.9852607116101845E-2</v>
      </c>
      <c r="AP2" t="str">
        <f>IF(N2="","",(N2-AVERAGE($N$2:$N$26))/_xlfn.STDEV.S($N$2:$N$26))</f>
        <v/>
      </c>
      <c r="AQ2">
        <f>IF(O2="","",(O2-AVERAGE($O$2:$O$26))/_xlfn.STDEV.S($O$2:$O$26))</f>
        <v>-0.16223052134100313</v>
      </c>
      <c r="AR2">
        <f>(AB2-AVERAGE($AB$2:$AB$26))/_xlfn.STDEV.S($AB$2:$AB$26)</f>
        <v>-0.39478157389513957</v>
      </c>
      <c r="AS2" t="str">
        <f>IF(AC2="","",(AC2-AVERAGE($AC$2:$AC$26))/_xlfn.STDEV.S($AC$2:$AC$26))</f>
        <v/>
      </c>
      <c r="AT2">
        <f>IF(AD2="","",(AD2-AVERAGE($AD$2:$AD$26))/_xlfn.STDEV.S($AD$2:$AD$26))</f>
        <v>-0.1593727781516403</v>
      </c>
      <c r="AU2">
        <f>AO2+CE2</f>
        <v>-0.1218391110377061</v>
      </c>
      <c r="AV2" t="str">
        <f>IF(AP2="","",AP2+CF2)</f>
        <v/>
      </c>
      <c r="AW2">
        <f>IF(AQ2="","",AQ2+CG2)</f>
        <v>-0.21987661745071854</v>
      </c>
      <c r="AX2" s="21">
        <f>B2/G2</f>
        <v>1.620947683987921E-3</v>
      </c>
      <c r="AY2">
        <f>C2/H2</f>
        <v>-1.143680556878311E-2</v>
      </c>
      <c r="AZ2" t="str">
        <f>IF(D2="","",D2/I2)</f>
        <v/>
      </c>
      <c r="BA2">
        <f>IF(E2="","",E2/J2)</f>
        <v>6.5132674660914455E-3</v>
      </c>
      <c r="BB2">
        <f>IF(guodubiaoge!$B2="TE0",[5]guodubiaoge!$AD2,
IF(guodubiaoge!$D2="TE0",[5]guodubiaoge!$AE2,
IF(guodubiaoge!$F2="TE0",[5]guodubiaoge!$AF2,
IF(guodubiaoge!$H2="TE0",[5]guodubiaoge!$AG2,""))))</f>
        <v>-2.3860262909634602E-3</v>
      </c>
      <c r="BC2">
        <f>IF(guodubiaoge!$B2="TE0+HF+6",[5]guodubiaoge!$AD2,
IF(guodubiaoge!$D2="TE0+HF+6",[5]guodubiaoge!$AE2,
IF(guodubiaoge!$F2="TE0+HF+6",[5]guodubiaoge!$AF2,
IF(guodubiaoge!$H2="TE0+HF+6",[5]guodubiaoge!$AG2,""))))</f>
        <v>7.7080869791109599E-4</v>
      </c>
      <c r="BD2" t="str">
        <f>IF(guodubiaoge!$B2="TE0+Sim+10",[5]guodubiaoge!$AD2,
IF(guodubiaoge!$D2="TE0+Sim+10",[5]guodubiaoge!$AE2,
IF(guodubiaoge!$F2="TE0+Sim+10",[5]guodubiaoge!$AF2,
IF(guodubiaoge!$H2="TE0+Sim+10",[5]guodubiaoge!$AG2,""))))</f>
        <v/>
      </c>
      <c r="BE2">
        <f>IF(guodubiaoge!$B2="TE0+SL+10",[5]guodubiaoge!$AD2,
IF(guodubiaoge!$D2="TE0+SL+10",[5]guodubiaoge!$AE2,
IF(guodubiaoge!$F2="TE0+SL+10",[5]guodubiaoge!$AF2,
IF(guodubiaoge!$H2="TE0+SL+10",[5]guodubiaoge!$AG2,""))))</f>
        <v>-1.9551125138416799E-3</v>
      </c>
      <c r="BF2">
        <f>IF(guodubiaoge!$B2="TE0",[5]guodubiaoge!$AH2,
IF(guodubiaoge!$D2="TE0",[5]guodubiaoge!$AI2,
IF(guodubiaoge!$F2="TE0",[5]guodubiaoge!$AJ2,
IF(guodubiaoge!$H2="TE0",[5]guodubiaoge!$AK2,""))))</f>
        <v>1.37134646962245E-2</v>
      </c>
      <c r="BG2">
        <f>IF(guodubiaoge!$B2="TE0+HF+6",[5]guodubiaoge!$AH2,
IF(guodubiaoge!$D2="TE0+HF+6",[5]guodubiaoge!$AI2,
IF(guodubiaoge!$F2="TE0+HF+6",[5]guodubiaoge!$AJ2,
IF(guodubiaoge!$H2="TE0+HF+6",[5]guodubiaoge!$AK2,""))))</f>
        <v>3.6959637188207703E-2</v>
      </c>
      <c r="BH2" t="str">
        <f>IF(guodubiaoge!$B2="TE0+Sim+10",[5]guodubiaoge!$AH2,
IF(guodubiaoge!$D2="TE0+Sim+10",[5]guodubiaoge!$AI2,
IF(guodubiaoge!$F2="TE0+Sim+10",[5]guodubiaoge!$AJ2,
IF(guodubiaoge!$H2="TE0+Sim+10",[5]guodubiaoge!$AK2,""))))</f>
        <v/>
      </c>
      <c r="BI2">
        <f>IF(guodubiaoge!$B2="TE0+SL+10",[5]guodubiaoge!$AH2,
IF(guodubiaoge!$D2="TE0+SL+10",[5]guodubiaoge!$AI2,
IF(guodubiaoge!$F2="TE0+SL+10",[5]guodubiaoge!$AJ2,
IF(guodubiaoge!$H2="TE0+SL+10",[5]guodubiaoge!$AK2,""))))</f>
        <v>-1.8838259441706699E-2</v>
      </c>
      <c r="BJ2">
        <f>IF(guodubiaoge!$B2="TE0",[5]guodubiaoge!$AL2,
IF(guodubiaoge!$D2="TE0",[5]guodubiaoge!$AM2,
IF(guodubiaoge!$F2="TE0",[5]guodubiaoge!$AN2,
IF(guodubiaoge!$H2="TE0",[5]guodubiaoge!$AO2,""))))</f>
        <v>-283.44618461067699</v>
      </c>
      <c r="BK2">
        <f>IF(guodubiaoge!$B2="TE0+HF+6",[5]guodubiaoge!$AL2,
IF(guodubiaoge!$D2="TE0+HF+6",[5]guodubiaoge!$AM2,
IF(guodubiaoge!$F2="TE0+HF+6",[5]guodubiaoge!$AN2,
IF(guodubiaoge!$H2="TE0+HF+6",[5]guodubiaoge!$AO2,""))))</f>
        <v>-72.707919138603799</v>
      </c>
      <c r="BL2" t="str">
        <f>IF(guodubiaoge!$B2="TE0+Sim+10",[5]guodubiaoge!$AL2,
IF(guodubiaoge!$D2="TE0+Sim+10",[5]guodubiaoge!$AM2,
IF(guodubiaoge!$F2="TE0+Sim+10",[5]guodubiaoge!$AN2,
IF(guodubiaoge!$H2="TE0+Sim+10",[5]guodubiaoge!$AO2,""))))</f>
        <v/>
      </c>
      <c r="BM2">
        <f>IF(guodubiaoge!$B2="TE0+SL+10",[5]guodubiaoge!$AL2,
IF(guodubiaoge!$D2="TE0+SL+10",[5]guodubiaoge!$AM2,
IF(guodubiaoge!$F2="TE0+SL+10",[5]guodubiaoge!$AN2,
IF(guodubiaoge!$H2="TE0+SL+10",[5]guodubiaoge!$AO2,""))))</f>
        <v>-75.747516202818204</v>
      </c>
      <c r="BN2">
        <f>IF(guodubiaoge!$B2="TE0",[5]guodubiaoge!$AP2,
IF(guodubiaoge!$D2="TE0",[5]guodubiaoge!$AQ2,
IF(guodubiaoge!$F2="TE0",[5]guodubiaoge!$AR2,
IF(guodubiaoge!$H2="TE0",[5]guodubiaoge!$AS2,""))))</f>
        <v>-140.671017132028</v>
      </c>
      <c r="BO2">
        <f>IF(guodubiaoge!$B2="TE0+HF+6",[5]guodubiaoge!$AP2,
IF(guodubiaoge!$D2="TE0+HF+6",[5]guodubiaoge!$AQ2,
IF(guodubiaoge!$F2="TE0+HF+6",[5]guodubiaoge!$AR2,
IF(guodubiaoge!$H2="TE0+HF+6",[5]guodubiaoge!$AS2,""))))</f>
        <v>5.5837802448894696</v>
      </c>
      <c r="BP2" t="str">
        <f>IF(guodubiaoge!$B2="TE0+Sim+10",[5]guodubiaoge!$AP2,
IF(guodubiaoge!$D2="TE0+Sim+10",[5]guodubiaoge!$AQ2,
IF(guodubiaoge!$F2="TE0+Sim+10",[5]guodubiaoge!$AR2,
IF(guodubiaoge!$H2="TE0+Sim+10",[5]guodubiaoge!$AS2,""))))</f>
        <v/>
      </c>
      <c r="BQ2">
        <f>IF(guodubiaoge!$B2="TE0+SL+10",[5]guodubiaoge!$AP2,
IF(guodubiaoge!$D2="TE0+SL+10",[5]guodubiaoge!$AQ2,
IF(guodubiaoge!$F2="TE0+SL+10",[5]guodubiaoge!$AR2,
IF(guodubiaoge!$H2="TE0+SL+10",[5]guodubiaoge!$AS2,""))))</f>
        <v>-12.531040205218799</v>
      </c>
      <c r="BR2">
        <f>(BB2-AVERAGE($BB$2:$BB$26))/_xlfn.STDEV.S($BB$2:$BB$26)</f>
        <v>-0.15345489754582897</v>
      </c>
      <c r="BS2" s="26">
        <f>(BC2-AVERAGE($BC$2:$BC$26))/_xlfn.STDEV.S($BC$2:$BC$26)</f>
        <v>0.23103430951265724</v>
      </c>
      <c r="BT2" s="25" t="str">
        <f>IF(BD2="","",(BD2-AVERAGE($BD$2:$BD$26))/_xlfn.STDEV.S($BD$2:$BD$26))</f>
        <v/>
      </c>
      <c r="BU2" s="26">
        <f>IF(BE2="","",(BE2-AVERAGE($BE$2:$BE$26))/_xlfn.STDEV.S($BE$2:$BE$26))</f>
        <v>-1.463757924488833</v>
      </c>
      <c r="BV2" s="26">
        <f>(BF2-AVERAGE($BF$2:$BF$26))/_xlfn.STDEV.S($BF$2:$BF$26)</f>
        <v>0.32816839461353559</v>
      </c>
      <c r="BW2">
        <f>(BG2-AVERAGE($BG$2:$BG$26))/_xlfn.STDEV.S($BG$2:$BG$26)</f>
        <v>0.69537768810044531</v>
      </c>
      <c r="BX2" t="str">
        <f>IF(BH2="","",(BH2-AVERAGE($BH$2:$BH$26))/_xlfn.STDEV.S($BH$2:$BH$26))</f>
        <v/>
      </c>
      <c r="BY2">
        <f>IF(BI2="","",(BI2-AVERAGE($BI$2:$BI$26))/_xlfn.STDEV.S($BI$2:$BI$26))</f>
        <v>-0.6057298619996917</v>
      </c>
      <c r="BZ2">
        <f>(BJ2-AVERAGE($BJ$2:$BJ$26))/_xlfn.STDEV.S($BJ$2:$BJ$26)</f>
        <v>-1.1692052342031014</v>
      </c>
      <c r="CA2">
        <f>(BK2-AVERAGE($BK$2:$BK$26))/_xlfn.STDEV.S($BK$2:$BK$26)</f>
        <v>-0.37823013905181202</v>
      </c>
      <c r="CB2" t="str">
        <f>IF(BL2="","",(BL2-AVERAGE($BL$2:$BL$26))/_xlfn.STDEV.S($BL$2:$BL$26))</f>
        <v/>
      </c>
      <c r="CC2">
        <f>IF(BM2="","",(BM2-AVERAGE($BM$2:$BM$26))/_xlfn.STDEV.S($BM$2:$BM$26))</f>
        <v>-0.32818396509958542</v>
      </c>
      <c r="CD2">
        <f>(BN2-AVERAGE($BN$2:$BN$26))/_xlfn.STDEV.S($BN$2:$BN$26)</f>
        <v>-0.83909681498421695</v>
      </c>
      <c r="CE2">
        <f>(BO2-AVERAGE($BO$2:$BO$26))/_xlfn.STDEV.S($BO$2:$BO$26)</f>
        <v>-0.10198650392160426</v>
      </c>
      <c r="CF2" t="str">
        <f>IF(BP2="","",(BP2-AVERAGE($BP$2:$BP$26))/_xlfn.STDEV.S($BP$2:$BP$26))</f>
        <v/>
      </c>
      <c r="CG2">
        <f>IF(BQ2="","",(BQ2-AVERAGE($BQ$2:$BQ$26))/_xlfn.STDEV.S($BQ$2:$BQ$26))</f>
        <v>-5.7646096109715418E-2</v>
      </c>
      <c r="CH2">
        <f>BR2+BV2</f>
        <v>0.17471349706770661</v>
      </c>
      <c r="CI2">
        <f>BS2+BW2</f>
        <v>0.92641199761310256</v>
      </c>
      <c r="CJ2" t="str">
        <f>IF(CB2="","",BT2+BX2)</f>
        <v/>
      </c>
      <c r="CK2">
        <f>IF(CC2="","",BU2+BY2)</f>
        <v>-2.0694877864885246</v>
      </c>
      <c r="CL2">
        <f>BZ2+CP2</f>
        <v>-2.5424359906469167</v>
      </c>
      <c r="CM2">
        <f>CA2+AR2</f>
        <v>-0.77301171294695159</v>
      </c>
      <c r="CN2" t="str">
        <f>IF(CB2="","",CB2+AS2)</f>
        <v/>
      </c>
      <c r="CO2">
        <f>IF(CC2="","",CC2+AT2)</f>
        <v>-0.48755674325122572</v>
      </c>
      <c r="CP2">
        <f>IF(AA2="","",(AA2-AVERAGE($AA$2:AA$26))/_xlfn.STDEV.S($AA$2:$AA$26))</f>
        <v>-1.3732307564438155</v>
      </c>
      <c r="CQ2">
        <f>IF(L2="","",(L2-AVERAGE($L$2:L$26))/_xlfn.STDEV.S($L$2:$L$26))</f>
        <v>-0.70147777689663549</v>
      </c>
      <c r="CR2">
        <f>CQ2+CD2</f>
        <v>-1.5405745918808524</v>
      </c>
      <c r="CS2">
        <f>IF(B2="","",(B2-AVERAGE($B$2:B$26))/_xlfn.STDEV.S($B$2:$B$26))</f>
        <v>-9.7600063241130297E-2</v>
      </c>
      <c r="CT2">
        <f>IF(G2="","",(G2-AVERAGE($G$2:G$26))/_xlfn.STDEV.S($G$2:$G$26))</f>
        <v>-7.4091965720897685E-2</v>
      </c>
      <c r="CU2">
        <f>CS2+CT2</f>
        <v>-0.17169202896202798</v>
      </c>
    </row>
    <row r="3" spans="1:99">
      <c r="A3">
        <v>2</v>
      </c>
      <c r="B3" s="21">
        <f>IF(guodubiaoge!$B3="Te0",[5]guodubiaoge!$C3,
IF(guodubiaoge!$D3="Te0",[5]guodubiaoge!$E3,
IF(guodubiaoge!$F3="Te0",[5]guodubiaoge!$G3,
IF(guodubiaoge!$H3="Te0",[5]guodubiaoge!$I3,""))))</f>
        <v>3.2049201672807798E-4</v>
      </c>
      <c r="C3">
        <f>IF(guodubiaoge!$B3="Te0+HF+6",[5]guodubiaoge!$C3,
IF(guodubiaoge!$D3="Te0+HF+6",[5]guodubiaoge!$E3,
IF(guodubiaoge!$F3="Te0+HF+6",[5]guodubiaoge!$G3,
IF(guodubiaoge!$H3="Te0+HF+6",[5]guodubiaoge!$I3,""))))</f>
        <v>4.8596921363741602E-4</v>
      </c>
      <c r="D3" t="str">
        <f>IF(guodubiaoge!$B3="Te0+Sim+10",[5]guodubiaoge!$C3,
IF(guodubiaoge!$D3="Te0+Sim+10",[5]guodubiaoge!$E3,
IF(guodubiaoge!$F3="Te0+Sim+10",[5]guodubiaoge!$G3,
IF(guodubiaoge!$H3="Te0+Sim+10",[5]guodubiaoge!$I3,""))))</f>
        <v/>
      </c>
      <c r="E3">
        <f>IF(guodubiaoge!$B3="Te0+SL+10",[5]guodubiaoge!$C3,
IF(guodubiaoge!$D3="Te0+SL+10",[5]guodubiaoge!$E3,
IF(guodubiaoge!$F3="Te0+SL+10",[5]guodubiaoge!$G3,
IF(guodubiaoge!$H3="Te0+SL+10",[5]guodubiaoge!$I3,""))))</f>
        <v>1.4790445862798899E-4</v>
      </c>
      <c r="F3">
        <f>IF(guodubiaoge!$B3="Te0-10",[5]guodubiaoge!$C3,
IF(guodubiaoge!$D3="Te0-10",[5]guodubiaoge!$E3,
IF(guodubiaoge!$F3="Te0-10",[5]guodubiaoge!$G3,
IF(guodubiaoge!$H3="Te0-10",[5]guodubiaoge!$I3,""))))</f>
        <v>-3.2606099145819102E-4</v>
      </c>
      <c r="G3">
        <f>IF(guodubiaoge!$B3="Te0",[5]guodubiaoge!$J3,
IF(guodubiaoge!$D3="Te0",[5]guodubiaoge!$K3,
IF(guodubiaoge!$F3="Te0",[5]guodubiaoge!$L3,
IF(guodubiaoge!$H3="Te0",[5]guodubiaoge!$M3,""))))</f>
        <v>7.3801210576617898E-2</v>
      </c>
      <c r="H3">
        <f>IF(guodubiaoge!$B3="Te0+HF+6",[5]guodubiaoge!$J3,
IF(guodubiaoge!$D3="Te0+HF+6",[5]guodubiaoge!$K3,
IF(guodubiaoge!$F3="Te0+HF+6",[5]guodubiaoge!$L3,
IF(guodubiaoge!$H3="Te0+HF+6",[5]guodubiaoge!$M3,""))))</f>
        <v>-5.3061443932412203E-2</v>
      </c>
      <c r="I3" t="str">
        <f>IF(guodubiaoge!$B3="Te0+Sim+10",[5]guodubiaoge!$J3,
IF(guodubiaoge!$D3="Te0+Sim+10",[5]guodubiaoge!$K3,
IF(guodubiaoge!$F3="Te0+Sim+10",[5]guodubiaoge!$L3,
IF(guodubiaoge!$H3="Te0+Sim+10",[5]guodubiaoge!$M3,""))))</f>
        <v/>
      </c>
      <c r="J3">
        <f>IF(guodubiaoge!$B3="Te0+SL+10",[5]guodubiaoge!$J3,
IF(guodubiaoge!$D3="Te0+SL+10",[5]guodubiaoge!$K3,
IF(guodubiaoge!$F3="Te0+SL+10",[5]guodubiaoge!$L3,
IF(guodubiaoge!$H3="Te0+SL+10",[5]guodubiaoge!$M3,""))))</f>
        <v>-4.5422430510666301E-2</v>
      </c>
      <c r="K3">
        <f>IF(guodubiaoge!$B3="Te0-10",[5]guodubiaoge!$J3,
IF(guodubiaoge!$D3="Te0-10",[5]guodubiaoge!$K3,
IF(guodubiaoge!$F3="Te0-10",[5]guodubiaoge!$L3,
IF(guodubiaoge!$H3="Te0-10",[5]guodubiaoge!$M3,""))))</f>
        <v>7.45335820895576E-3</v>
      </c>
      <c r="L3">
        <f>IF(guodubiaoge!$B3="Te0",[5]guodubiaoge!$N3,
IF(guodubiaoge!$D3="Te0",[5]guodubiaoge!$O3,
IF(guodubiaoge!$F3="Te0",[5]guodubiaoge!$P3,
IF(guodubiaoge!$H3="Te0",[5]guodubiaoge!$Q3,""))))</f>
        <v>-33.808502611205697</v>
      </c>
      <c r="M3">
        <f>IF(guodubiaoge!$B3="Te0+HF+6",[5]guodubiaoge!$N3,
IF(guodubiaoge!$D3="Te0+HF+6",[5]guodubiaoge!$O3,
IF(guodubiaoge!$F3="Te0+HF+6",[5]guodubiaoge!$P3,
IF(guodubiaoge!$H3="Te0+HF+6",[5]guodubiaoge!$Q3,""))))</f>
        <v>92.619167669352095</v>
      </c>
      <c r="N3" t="str">
        <f>IF(guodubiaoge!$B3="Te0+Sim+10",[5]guodubiaoge!$N3,
IF(guodubiaoge!$D3="Te0+Sim+10",[5]guodubiaoge!$O3,
IF(guodubiaoge!$F3="Te0+Sim+10",[5]guodubiaoge!$P3,
IF(guodubiaoge!$H3="Te0+Sim+10",[5]guodubiaoge!$Q3,""))))</f>
        <v/>
      </c>
      <c r="O3">
        <f>IF(guodubiaoge!$B3="Te0+SL+10",[5]guodubiaoge!$N3,
IF(guodubiaoge!$D3="Te0+SL+10",[5]guodubiaoge!$O3,
IF(guodubiaoge!$F3="Te0+SL+10",[5]guodubiaoge!$P3,
IF(guodubiaoge!$H3="Te0+SL+10",[5]guodubiaoge!$Q3,""))))</f>
        <v>-36.443093596496297</v>
      </c>
      <c r="P3">
        <f>IF(guodubiaoge!$B3="Te0-10",[5]guodubiaoge!$N3,
IF(guodubiaoge!$D3="Te0-10",[5]guodubiaoge!$O3,
IF(guodubiaoge!$F3="Te0-10",[5]guodubiaoge!$P3,
IF(guodubiaoge!$H3="Te0-10",[5]guodubiaoge!$Q3,""))))</f>
        <v>20.709600557541499</v>
      </c>
      <c r="Q3">
        <f>IF(guodubiaoge!$B3="Te0",[5]guodubiaoge!$R3,
IF(guodubiaoge!$D3="Te0",[5]guodubiaoge!$S3,
IF(guodubiaoge!$F3="Te0",[5]guodubiaoge!$T3,
IF(guodubiaoge!$H3="Te0",[5]guodubiaoge!$U3,""))))</f>
        <v>6</v>
      </c>
      <c r="R3">
        <f>IF(guodubiaoge!$B3="Te0+HF+6",[5]guodubiaoge!$R3,
IF(guodubiaoge!$D3="Te0+HF+6",[5]guodubiaoge!$S3,
IF(guodubiaoge!$F3="Te0+HF+6",[5]guodubiaoge!$T3,
IF(guodubiaoge!$H3="Te0+HF+6",[5]guodubiaoge!$U3,""))))</f>
        <v>4</v>
      </c>
      <c r="S3" t="str">
        <f>IF(guodubiaoge!$B3="Te0+Sim+10",[5]guodubiaoge!$R3,
IF(guodubiaoge!$D3="Te0+Sim+10",[5]guodubiaoge!$S3,
IF(guodubiaoge!$F3="Te0+Sim+10",[5]guodubiaoge!$T3,
IF(guodubiaoge!$H3="Te0+Sim+10",[5]guodubiaoge!$U3,""))))</f>
        <v/>
      </c>
      <c r="T3">
        <f>IF(guodubiaoge!$B3="Te0+SL+10",[5]guodubiaoge!$R3,
IF(guodubiaoge!$D3="Te0+SL+10",[5]guodubiaoge!$S3,
IF(guodubiaoge!$F3="Te0+SL+10",[5]guodubiaoge!$T3,
IF(guodubiaoge!$H3="Te0+SL+10",[5]guodubiaoge!$U3,""))))</f>
        <v>7</v>
      </c>
      <c r="U3">
        <f>IF(guodubiaoge!$B3="Te0-10",[5]guodubiaoge!$R3,
IF(guodubiaoge!$D3="Te0-10",[5]guodubiaoge!$S3,
IF(guodubiaoge!$F3="Te0-10",[5]guodubiaoge!$T3,
IF(guodubiaoge!$H3="Te0-10",[5]guodubiaoge!$U3,""))))</f>
        <v>7</v>
      </c>
      <c r="V3">
        <f>IF(guodubiaoge!$B3="Te0",[5]guodubiaoge!$V3,
IF(guodubiaoge!$D3="Te0",[5]guodubiaoge!$W3,
IF(guodubiaoge!$F3="Te0",[5]guodubiaoge!$X3,
IF(guodubiaoge!$H3="Te0",[5]guodubiaoge!$Y3,""))))</f>
        <v>7</v>
      </c>
      <c r="W3">
        <f>IF(guodubiaoge!$B3="Te0+HF+6",[5]guodubiaoge!$V3,
IF(guodubiaoge!$D3="Te0+HF+6",[5]guodubiaoge!$W3,
IF(guodubiaoge!$F3="Te0+HF+6",[5]guodubiaoge!$X3,
IF(guodubiaoge!$H3="Te0+HF+6",[5]guodubiaoge!$Y3,""))))</f>
        <v>7</v>
      </c>
      <c r="X3" t="str">
        <f>IF(guodubiaoge!$B3="Te0+Sim+10",[5]guodubiaoge!$V3,
IF(guodubiaoge!$D3="Te0+Sim+10",[5]guodubiaoge!$W3,
IF(guodubiaoge!$F3="Te0+Sim+10",[5]guodubiaoge!$X3,
IF(guodubiaoge!$H3="Te0+Sim+10",[5]guodubiaoge!$Y3,""))))</f>
        <v/>
      </c>
      <c r="Y3">
        <f>IF(guodubiaoge!$B3="Te0+SL+10",[5]guodubiaoge!$U3,
IF(guodubiaoge!$D3="Te0+SL+10",[5]guodubiaoge!$W3,
IF(guodubiaoge!$F3="Te0+SL+10",[5]guodubiaoge!$X3,
IF(guodubiaoge!$H3="Te0+SL+10",[5]guodubiaoge!$Y3,""))))</f>
        <v>7</v>
      </c>
      <c r="Z3">
        <f>IF(guodubiaoge!$B3="Te0-10",[5]guodubiaoge!$U3,
IF(guodubiaoge!$D3="Te0-10",[5]guodubiaoge!$W3,
IF(guodubiaoge!$F3="Te0-10",[5]guodubiaoge!$X3,
IF(guodubiaoge!$H3="Te0-10",[5]guodubiaoge!$Y3,""))))</f>
        <v>8</v>
      </c>
      <c r="AA3">
        <f>IF(guodubiaoge!$B3="Te0",[5]guodubiaoge!$Z3,
IF(guodubiaoge!$D3="Te0",[5]guodubiaoge!$AA3,
IF(guodubiaoge!$F3="Te0",[5]guodubiaoge!$AB3,
IF(guodubiaoge!$H3="Te0",[5]guodubiaoge!$AC3,""))))</f>
        <v>50.131913010778398</v>
      </c>
      <c r="AB3">
        <f>IF(guodubiaoge!$B3="Te0+HF+6",[5]guodubiaoge!$Z3,
IF(guodubiaoge!$D3="Te0+HF+6",[5]guodubiaoge!$AA3,
IF(guodubiaoge!$F3="Te0+HF+6",[5]guodubiaoge!$AB3,
IF(guodubiaoge!$H3="Te0+HF+6",[5]guodubiaoge!$AC3,""))))</f>
        <v>-73.487445790659905</v>
      </c>
      <c r="AC3" t="str">
        <f>IF(guodubiaoge!$B3="Te0+Sim+10",[5]guodubiaoge!$Z3,
IF(guodubiaoge!$D3="Te0+Sim+10",[5]guodubiaoge!$AA3,
IF(guodubiaoge!$F3="Te0+Sim+10",[5]guodubiaoge!$AB3,
IF(guodubiaoge!$H3="Te0+Sim+10",[5]guodubiaoge!$AC3,""))))</f>
        <v/>
      </c>
      <c r="AD3">
        <f>IF(guodubiaoge!$B3="Te0+SL+10",[5]guodubiaoge!$Z3,
IF(guodubiaoge!$D3="Te0+SL+10",[5]guodubiaoge!$AA3,
IF(guodubiaoge!$F3="Te0+SL+10",[5]guodubiaoge!$AB3,
IF(guodubiaoge!$H3="Te0+SL+10",[5]guodubiaoge!$AC3,""))))</f>
        <v>-14.1616765483209</v>
      </c>
      <c r="AE3">
        <f>IF(guodubiaoge!$B3="Te0-10",[5]guodubiaoge!$Z3,
IF(guodubiaoge!$D3="Te0-10",[5]guodubiaoge!$AA3,
IF(guodubiaoge!$F3="Te0-10",[5]guodubiaoge!$AB3,
IF(guodubiaoge!$H3="Te0-10",[5]guodubiaoge!$AC3,""))))</f>
        <v>-36.181901815777003</v>
      </c>
      <c r="AF3">
        <f t="shared" ref="AF3:AF26" si="0">(C3-AVERAGE($C$2:$C$26))/_xlfn.STDEV.S($C$2:$C$26)</f>
        <v>-9.5808291274658203E-2</v>
      </c>
      <c r="AG3" t="str">
        <f t="shared" ref="AG3:AG26" si="1">IF(D3="","",(D3-AVERAGE($D$2:$D$26))/_xlfn.STDEV.S($D$2:$D$26))</f>
        <v/>
      </c>
      <c r="AH3">
        <f t="shared" ref="AH3:AH26" si="2">IF(E3="","",(E3-AVERAGE($E$2:$E$26))/_xlfn.STDEV.S($E$2:$E$26))</f>
        <v>0.21581354095784222</v>
      </c>
      <c r="AI3">
        <f t="shared" ref="AI3:AI26" si="3">IF(H3="","",(H3-AVERAGE($H$2:$H$26))/_xlfn.STDEV.S($H$2:$H$26))</f>
        <v>-0.92860695925353109</v>
      </c>
      <c r="AJ3" t="str">
        <f t="shared" ref="AJ3:AJ26" si="4">IF(I3="","",(I3-AVERAGE($I$2:$I$26))/_xlfn.STDEV.S($I$2:$I$26))</f>
        <v/>
      </c>
      <c r="AK3">
        <f t="shared" ref="AK3:AK26" si="5">IF(J3="","",(J3-AVERAGE($J$2:$J$26))/_xlfn.STDEV.S($J$2:$J$26))</f>
        <v>5.4276715423306934E-2</v>
      </c>
      <c r="AL3">
        <f t="shared" ref="AL3:AL26" si="6">AF3+AI3</f>
        <v>-1.0244152505281894</v>
      </c>
      <c r="AM3" t="str">
        <f t="shared" ref="AM3:AM26" si="7">IF(I3="","",AG3+AJ3)</f>
        <v/>
      </c>
      <c r="AN3">
        <f t="shared" ref="AN3:AN26" si="8">IF(J3="","",AH3+AK3)</f>
        <v>0.27009025638114914</v>
      </c>
      <c r="AO3">
        <f t="shared" ref="AO3:AO26" si="9">(M3-AVERAGE($M$2:$M$26))/_xlfn.STDEV.S($M$2:$M$26)</f>
        <v>0.30850308419193029</v>
      </c>
      <c r="AP3" t="str">
        <f t="shared" ref="AP3:AP26" si="10">IF(N3="","",(N3-AVERAGE($N$2:$N$26))/_xlfn.STDEV.S($N$2:$N$26))</f>
        <v/>
      </c>
      <c r="AQ3">
        <f t="shared" ref="AQ3:AQ26" si="11">IF(O3="","",(O3-AVERAGE($O$2:$O$26))/_xlfn.STDEV.S($O$2:$O$26))</f>
        <v>-0.21008046064980876</v>
      </c>
      <c r="AR3">
        <f t="shared" ref="AR3:AR26" si="12">(AB3-AVERAGE($AB$2:$AB$26))/_xlfn.STDEV.S($AB$2:$AB$26)</f>
        <v>-0.50128611268272871</v>
      </c>
      <c r="AS3" t="str">
        <f t="shared" ref="AS3:AS26" si="13">IF(AC3="","",(AC3-AVERAGE($AC$2:$AC$26))/_xlfn.STDEV.S($AC$2:$AC$26))</f>
        <v/>
      </c>
      <c r="AT3">
        <f t="shared" ref="AT3:AT26" si="14">IF(AD3="","",(AD3-AVERAGE($AD$2:$AD$26))/_xlfn.STDEV.S($AD$2:$AD$26))</f>
        <v>0.14819687237186366</v>
      </c>
      <c r="AU3">
        <f t="shared" ref="AU3:AU26" si="15">AO3+CE3</f>
        <v>0.75119710495500858</v>
      </c>
      <c r="AV3" t="str">
        <f t="shared" ref="AV3:AV26" si="16">IF(AP3="","",AP3+CF3)</f>
        <v/>
      </c>
      <c r="AW3">
        <f t="shared" ref="AW3:AW26" si="17">IF(AQ3="","",AQ3+CG3)</f>
        <v>-0.45442934019903214</v>
      </c>
      <c r="AX3" s="21">
        <f t="shared" ref="AX3:AX26" si="18">B3/G3</f>
        <v>4.34263901938782E-3</v>
      </c>
      <c r="AY3">
        <f t="shared" ref="AY3:AY26" si="19">C3/H3</f>
        <v>-9.1586126878949337E-3</v>
      </c>
      <c r="AZ3" t="str">
        <f t="shared" ref="AZ3:AZ26" si="20">IF(D3="","",D3/I3)</f>
        <v/>
      </c>
      <c r="BA3">
        <f t="shared" ref="BA3:BA26" si="21">IF(E3="","",E3/J3)</f>
        <v>-3.2561986878543937E-3</v>
      </c>
      <c r="BB3">
        <f>IF(guodubiaoge!$B3="TE0",[5]guodubiaoge!$AD3,
IF(guodubiaoge!$D3="TE0",[5]guodubiaoge!$AE3,
IF(guodubiaoge!$F3="TE0",[5]guodubiaoge!$AF3,
IF(guodubiaoge!$H3="TE0",[5]guodubiaoge!$AG3,""))))</f>
        <v>-7.9637636852088002E-5</v>
      </c>
      <c r="BC3">
        <f>IF(guodubiaoge!$B3="TE0+HF+6",[5]guodubiaoge!$AD3,
IF(guodubiaoge!$D3="TE0+HF+6",[5]guodubiaoge!$AE3,
IF(guodubiaoge!$F3="TE0+HF+6",[5]guodubiaoge!$AF3,
IF(guodubiaoge!$H3="TE0+HF+6",[5]guodubiaoge!$AG3,""))))</f>
        <v>7.5919548607022497E-5</v>
      </c>
      <c r="BD3" t="str">
        <f>IF(guodubiaoge!$B3="TE0+Sim+10",[5]guodubiaoge!$AD3,
IF(guodubiaoge!$D3="TE0+Sim+10",[5]guodubiaoge!$AE3,
IF(guodubiaoge!$F3="TE0+Sim+10",[5]guodubiaoge!$AF3,
IF(guodubiaoge!$H3="TE0+Sim+10",[5]guodubiaoge!$AG3,""))))</f>
        <v/>
      </c>
      <c r="BE3">
        <f>IF(guodubiaoge!$B3="TE0+SL+10",[5]guodubiaoge!$AD3,
IF(guodubiaoge!$D3="TE0+SL+10",[5]guodubiaoge!$AE3,
IF(guodubiaoge!$F3="TE0+SL+10",[5]guodubiaoge!$AF3,
IF(guodubiaoge!$H3="TE0+SL+10",[5]guodubiaoge!$AG3,""))))</f>
        <v>1.0242367026091E-3</v>
      </c>
      <c r="BF3">
        <f>IF(guodubiaoge!$B3="TE0",[5]guodubiaoge!$AH3,
IF(guodubiaoge!$D3="TE0",[5]guodubiaoge!$AI3,
IF(guodubiaoge!$F3="TE0",[5]guodubiaoge!$AJ3,
IF(guodubiaoge!$H3="TE0",[5]guodubiaoge!$AK3,""))))</f>
        <v>-6.1447330447330799E-2</v>
      </c>
      <c r="BG3">
        <f>IF(guodubiaoge!$B3="TE0+HF+6",[5]guodubiaoge!$AH3,
IF(guodubiaoge!$D3="TE0+HF+6",[5]guodubiaoge!$AI3,
IF(guodubiaoge!$F3="TE0+HF+6",[5]guodubiaoge!$AJ3,
IF(guodubiaoge!$H3="TE0+HF+6",[5]guodubiaoge!$AK3,""))))</f>
        <v>8.3028985507257996E-3</v>
      </c>
      <c r="BH3" t="str">
        <f>IF(guodubiaoge!$B3="TE0+Sim+10",[5]guodubiaoge!$AH3,
IF(guodubiaoge!$D3="TE0+Sim+10",[5]guodubiaoge!$AI3,
IF(guodubiaoge!$F3="TE0+Sim+10",[5]guodubiaoge!$AJ3,
IF(guodubiaoge!$H3="TE0+Sim+10",[5]guodubiaoge!$AK3,""))))</f>
        <v/>
      </c>
      <c r="BI3">
        <f>IF(guodubiaoge!$B3="TE0+SL+10",[5]guodubiaoge!$AH3,
IF(guodubiaoge!$D3="TE0+SL+10",[5]guodubiaoge!$AI3,
IF(guodubiaoge!$F3="TE0+SL+10",[5]guodubiaoge!$AJ3,
IF(guodubiaoge!$H3="TE0+SL+10",[5]guodubiaoge!$AK3,""))))</f>
        <v>6.2032646834477401E-2</v>
      </c>
      <c r="BJ3">
        <f>IF(guodubiaoge!$B3="TE0",[5]guodubiaoge!$AL3,
IF(guodubiaoge!$D3="TE0",[5]guodubiaoge!$AM3,
IF(guodubiaoge!$F3="TE0",[5]guodubiaoge!$AN3,
IF(guodubiaoge!$H3="TE0",[5]guodubiaoge!$AO3,""))))</f>
        <v>37.426498912526398</v>
      </c>
      <c r="BK3">
        <f>IF(guodubiaoge!$B3="TE0+HF+6",[5]guodubiaoge!$AL3,
IF(guodubiaoge!$D3="TE0+HF+6",[5]guodubiaoge!$AM3,
IF(guodubiaoge!$F3="TE0+HF+6",[5]guodubiaoge!$AN3,
IF(guodubiaoge!$H3="TE0+HF+6",[5]guodubiaoge!$AO3,""))))</f>
        <v>-90.062918598141906</v>
      </c>
      <c r="BL3" t="str">
        <f>IF(guodubiaoge!$B3="TE0+Sim+10",[5]guodubiaoge!$AL3,
IF(guodubiaoge!$D3="TE0+Sim+10",[5]guodubiaoge!$AM3,
IF(guodubiaoge!$F3="TE0+Sim+10",[5]guodubiaoge!$AN3,
IF(guodubiaoge!$H3="TE0+Sim+10",[5]guodubiaoge!$AO3,""))))</f>
        <v/>
      </c>
      <c r="BM3">
        <f>IF(guodubiaoge!$B3="TE0+SL+10",[5]guodubiaoge!$AL3,
IF(guodubiaoge!$D3="TE0+SL+10",[5]guodubiaoge!$AM3,
IF(guodubiaoge!$F3="TE0+SL+10",[5]guodubiaoge!$AN3,
IF(guodubiaoge!$H3="TE0+SL+10",[5]guodubiaoge!$AO3,""))))</f>
        <v>123.247262202654</v>
      </c>
      <c r="BN3">
        <f>IF(guodubiaoge!$B3="TE0",[5]guodubiaoge!$AP3,
IF(guodubiaoge!$D3="TE0",[5]guodubiaoge!$AQ3,
IF(guodubiaoge!$F3="TE0",[5]guodubiaoge!$AR3,
IF(guodubiaoge!$H3="TE0",[5]guodubiaoge!$AS3,""))))</f>
        <v>13.3585313448666</v>
      </c>
      <c r="BO3">
        <f>IF(guodubiaoge!$B3="TE0+HF+6",[5]guodubiaoge!$AP3,
IF(guodubiaoge!$D3="TE0+HF+6",[5]guodubiaoge!$AQ3,
IF(guodubiaoge!$F3="TE0+HF+6",[5]guodubiaoge!$AR3,
IF(guodubiaoge!$H3="TE0+HF+6",[5]guodubiaoge!$AS3,""))))</f>
        <v>106.658653654696</v>
      </c>
      <c r="BP3" t="str">
        <f>IF(guodubiaoge!$B3="TE0+Sim+10",[5]guodubiaoge!$AP3,
IF(guodubiaoge!$D3="TE0+Sim+10",[5]guodubiaoge!$AQ3,
IF(guodubiaoge!$F3="TE0+Sim+10",[5]guodubiaoge!$AR3,
IF(guodubiaoge!$H3="TE0+Sim+10",[5]guodubiaoge!$AS3,""))))</f>
        <v/>
      </c>
      <c r="BQ3">
        <f>IF(guodubiaoge!$B3="TE0+SL+10",[5]guodubiaoge!$AP3,
IF(guodubiaoge!$D3="TE0+SL+10",[5]guodubiaoge!$AQ3,
IF(guodubiaoge!$F3="TE0+SL+10",[5]guodubiaoge!$AR3,
IF(guodubiaoge!$H3="TE0+SL+10",[5]guodubiaoge!$AS3,""))))</f>
        <v>-50.513279411412498</v>
      </c>
      <c r="BR3">
        <f t="shared" ref="BR3:BR26" si="22">(BB3-AVERAGE($BB$2:$BB$26))/_xlfn.STDEV.S($BB$2:$BB$26)</f>
        <v>0.28899537225754907</v>
      </c>
      <c r="BS3" s="26">
        <f t="shared" ref="BS3:BS26" si="23">(BC3-AVERAGE($BC$2:$BC$26))/_xlfn.STDEV.S($BC$2:$BC$26)</f>
        <v>0.15332967881857762</v>
      </c>
      <c r="BT3" s="25" t="str">
        <f t="shared" ref="BT3:BT26" si="24">IF(BD3="","",(BD3-AVERAGE($BD$2:$BD$26))/_xlfn.STDEV.S($BD$2:$BD$26))</f>
        <v/>
      </c>
      <c r="BU3" s="26">
        <f t="shared" ref="BU3:BU26" si="25">IF(BE3="","",(BE3-AVERAGE($BE$2:$BE$26))/_xlfn.STDEV.S($BE$2:$BE$26))</f>
        <v>-0.22488086674330982</v>
      </c>
      <c r="BV3" s="26">
        <f t="shared" ref="BV3:BV26" si="26">(BF3-AVERAGE($BF$2:$BF$26))/_xlfn.STDEV.S($BF$2:$BF$26)</f>
        <v>-0.34114308056355186</v>
      </c>
      <c r="BW3">
        <f t="shared" ref="BW3:BW26" si="27">(BG3-AVERAGE($BG$2:$BG$26))/_xlfn.STDEV.S($BG$2:$BG$26)</f>
        <v>0.17960454788453387</v>
      </c>
      <c r="BX3" t="str">
        <f t="shared" ref="BX3:BX26" si="28">IF(BH3="","",(BH3-AVERAGE($BH$2:$BH$26))/_xlfn.STDEV.S($BH$2:$BH$26))</f>
        <v/>
      </c>
      <c r="BY3">
        <f t="shared" ref="BY3:BY27" si="29">IF(BI3="","",(BI3-AVERAGE($BI$2:$BI$26))/_xlfn.STDEV.S($BI$2:$BI$26))</f>
        <v>1.1375022014005509</v>
      </c>
      <c r="BZ3">
        <f t="shared" ref="BZ3:BZ26" si="30">(BJ3-AVERAGE($BJ$2:$BJ$26))/_xlfn.STDEV.S($BJ$2:$BJ$26)</f>
        <v>0.42112934969719457</v>
      </c>
      <c r="CA3">
        <f t="shared" ref="CA3:CA26" si="31">(BK3-AVERAGE($BK$2:$BK$26))/_xlfn.STDEV.S($BK$2:$BK$26)</f>
        <v>-0.44787569640902597</v>
      </c>
      <c r="CB3" t="str">
        <f t="shared" ref="CB3:CB26" si="32">IF(BL3="","",(BL3-AVERAGE($BL$2:$BL$26))/_xlfn.STDEV.S($BL$2:$BL$26))</f>
        <v/>
      </c>
      <c r="CC3">
        <f t="shared" ref="CC3:CC26" si="33">IF(BM3="","",(BM3-AVERAGE($BM$2:$BM$26))/_xlfn.STDEV.S($BM$2:$BM$26))</f>
        <v>0.9389209415698152</v>
      </c>
      <c r="CD3">
        <f t="shared" ref="CD3:CD26" si="34">(BN3-AVERAGE($BN$2:$BN$26))/_xlfn.STDEV.S($BN$2:$BN$26)</f>
        <v>0.14535854636896559</v>
      </c>
      <c r="CE3">
        <f t="shared" ref="CE3:CE26" si="35">(BO3-AVERAGE($BO$2:$BO$26))/_xlfn.STDEV.S($BO$2:$BO$26)</f>
        <v>0.44269402076307823</v>
      </c>
      <c r="CF3" t="str">
        <f t="shared" ref="CF3:CF26" si="36">IF(BP3="","",(BP3-AVERAGE($BP$2:$BP$26))/_xlfn.STDEV.S($BP$2:$BP$26))</f>
        <v/>
      </c>
      <c r="CG3">
        <f t="shared" ref="CG3:CG26" si="37">IF(BQ3="","",(BQ3-AVERAGE($BQ$2:$BQ$26))/_xlfn.STDEV.S($BQ$2:$BQ$26))</f>
        <v>-0.24434887954922341</v>
      </c>
      <c r="CH3">
        <f t="shared" ref="CH3:CH26" si="38">BR3+BV3</f>
        <v>-5.2147708306002793E-2</v>
      </c>
      <c r="CI3">
        <f t="shared" ref="CI3:CI26" si="39">BS3+BW3</f>
        <v>0.33293422670311146</v>
      </c>
      <c r="CJ3" t="str">
        <f t="shared" ref="CJ3:CJ26" si="40">IF(CB3="","",BT3+BX3)</f>
        <v/>
      </c>
      <c r="CK3">
        <f t="shared" ref="CK3:CK26" si="41">IF(CC3="","",BU3+BY3)</f>
        <v>0.91262133465724116</v>
      </c>
      <c r="CL3">
        <f t="shared" ref="CL3:CL26" si="42">BZ3+CP3</f>
        <v>0.84582305292472815</v>
      </c>
      <c r="CM3">
        <f t="shared" ref="CM3:CM26" si="43">CA3+AR3</f>
        <v>-0.94916180909175463</v>
      </c>
      <c r="CN3" t="str">
        <f t="shared" ref="CN3:CN26" si="44">IF(CB3="","",CB3+AS3)</f>
        <v/>
      </c>
      <c r="CO3">
        <f t="shared" ref="CO3:CO26" si="45">IF(CC3="","",CC3+AT3)</f>
        <v>1.0871178139416788</v>
      </c>
      <c r="CP3">
        <f>IF(AA3="","",(AA3-AVERAGE($AA$2:AA$26))/_xlfn.STDEV.S($AA$2:$AA$26))</f>
        <v>0.42469370322753364</v>
      </c>
      <c r="CQ3">
        <f>IF(L3="","",(L3-AVERAGE($L$2:L$26))/_xlfn.STDEV.S($L$2:$L$26))</f>
        <v>3.3316185068119085E-2</v>
      </c>
      <c r="CR3">
        <f t="shared" ref="CR3:CR26" si="46">CQ3+CD3</f>
        <v>0.17867473143708468</v>
      </c>
      <c r="CS3">
        <f>IF(B3="","",(B3-AVERAGE($B$2:B$26))/_xlfn.STDEV.S($B$2:$B$26))</f>
        <v>-7.7963709500620315E-2</v>
      </c>
      <c r="CT3">
        <f>IF(G3="","",(G3-AVERAGE($G$2:G$26))/_xlfn.STDEV.S($G$2:$G$26))</f>
        <v>0.73287106316366124</v>
      </c>
      <c r="CU3">
        <f t="shared" ref="CU3:CU26" si="47">CS3+CT3</f>
        <v>0.65490735366304098</v>
      </c>
    </row>
    <row r="4" spans="1:99">
      <c r="A4">
        <v>3</v>
      </c>
      <c r="B4" s="21">
        <f>IF(guodubiaoge!$B4="Te0",[5]guodubiaoge!$C4,
IF(guodubiaoge!$D4="Te0",[5]guodubiaoge!$E4,
IF(guodubiaoge!$F4="Te0",[5]guodubiaoge!$G4,
IF(guodubiaoge!$H4="Te0",[5]guodubiaoge!$I4,""))))</f>
        <v>4.8394112224729697E-5</v>
      </c>
      <c r="C4">
        <f>IF(guodubiaoge!$B4="Te0+HF+6",[5]guodubiaoge!$C4,
IF(guodubiaoge!$D4="Te0+HF+6",[5]guodubiaoge!$E4,
IF(guodubiaoge!$F4="Te0+HF+6",[5]guodubiaoge!$G4,
IF(guodubiaoge!$H4="Te0+HF+6",[5]guodubiaoge!$I4,""))))</f>
        <v>7.6814284996842104E-4</v>
      </c>
      <c r="D4" t="str">
        <f>IF(guodubiaoge!$B4="Te0+Sim+10",[5]guodubiaoge!$C4,
IF(guodubiaoge!$D4="Te0+Sim+10",[5]guodubiaoge!$E4,
IF(guodubiaoge!$F4="Te0+Sim+10",[5]guodubiaoge!$G4,
IF(guodubiaoge!$H4="Te0+Sim+10",[5]guodubiaoge!$I4,""))))</f>
        <v/>
      </c>
      <c r="E4">
        <f>IF(guodubiaoge!$B4="Te0+SL+10",[5]guodubiaoge!$C4,
IF(guodubiaoge!$D4="Te0+SL+10",[5]guodubiaoge!$E4,
IF(guodubiaoge!$F4="Te0+SL+10",[5]guodubiaoge!$G4,
IF(guodubiaoge!$H4="Te0+SL+10",[5]guodubiaoge!$I4,""))))</f>
        <v>-8.3586692886922498E-3</v>
      </c>
      <c r="F4">
        <f>IF(guodubiaoge!$B4="Te0-10",[5]guodubiaoge!$C4,
IF(guodubiaoge!$D4="Te0-10",[5]guodubiaoge!$E4,
IF(guodubiaoge!$F4="Te0-10",[5]guodubiaoge!$G4,
IF(guodubiaoge!$H4="Te0-10",[5]guodubiaoge!$I4,""))))</f>
        <v>5.7629067191238405E-4</v>
      </c>
      <c r="G4">
        <f>IF(guodubiaoge!$B4="Te0",[5]guodubiaoge!$J4,
IF(guodubiaoge!$D4="Te0",[5]guodubiaoge!$K4,
IF(guodubiaoge!$F4="Te0",[5]guodubiaoge!$L4,
IF(guodubiaoge!$H4="Te0",[5]guodubiaoge!$M4,""))))</f>
        <v>-4.3471794871794402E-2</v>
      </c>
      <c r="H4">
        <f>IF(guodubiaoge!$B4="Te0+HF+6",[5]guodubiaoge!$J4,
IF(guodubiaoge!$D4="Te0+HF+6",[5]guodubiaoge!$K4,
IF(guodubiaoge!$F4="Te0+HF+6",[5]guodubiaoge!$L4,
IF(guodubiaoge!$H4="Te0+HF+6",[5]guodubiaoge!$M4,""))))</f>
        <v>-3.1928052325581803E-2</v>
      </c>
      <c r="I4" t="str">
        <f>IF(guodubiaoge!$B4="Te0+Sim+10",[5]guodubiaoge!$J4,
IF(guodubiaoge!$D4="Te0+Sim+10",[5]guodubiaoge!$K4,
IF(guodubiaoge!$F4="Te0+Sim+10",[5]guodubiaoge!$L4,
IF(guodubiaoge!$H4="Te0+Sim+10",[5]guodubiaoge!$M4,""))))</f>
        <v/>
      </c>
      <c r="J4">
        <f>IF(guodubiaoge!$B4="Te0+SL+10",[5]guodubiaoge!$J4,
IF(guodubiaoge!$D4="Te0+SL+10",[5]guodubiaoge!$K4,
IF(guodubiaoge!$F4="Te0+SL+10",[5]guodubiaoge!$L4,
IF(guodubiaoge!$H4="Te0+SL+10",[5]guodubiaoge!$M4,""))))</f>
        <v>-0.59175</v>
      </c>
      <c r="K4">
        <f>IF(guodubiaoge!$B4="Te0-10",[5]guodubiaoge!$J4,
IF(guodubiaoge!$D4="Te0-10",[5]guodubiaoge!$K4,
IF(guodubiaoge!$F4="Te0-10",[5]guodubiaoge!$L4,
IF(guodubiaoge!$H4="Te0-10",[5]guodubiaoge!$M4,""))))</f>
        <v>-4.3812148876404999E-2</v>
      </c>
      <c r="L4">
        <f>IF(guodubiaoge!$B4="Te0",[5]guodubiaoge!$N4,
IF(guodubiaoge!$D4="Te0",[5]guodubiaoge!$O4,
IF(guodubiaoge!$F4="Te0",[5]guodubiaoge!$P4,
IF(guodubiaoge!$H4="Te0",[5]guodubiaoge!$Q4,""))))</f>
        <v>-155.907337640387</v>
      </c>
      <c r="M4">
        <f>IF(guodubiaoge!$B4="Te0+HF+6",[5]guodubiaoge!$N4,
IF(guodubiaoge!$D4="Te0+HF+6",[5]guodubiaoge!$O4,
IF(guodubiaoge!$F4="Te0+HF+6",[5]guodubiaoge!$P4,
IF(guodubiaoge!$H4="Te0+HF+6",[5]guodubiaoge!$Q4,""))))</f>
        <v>217.05286229203401</v>
      </c>
      <c r="N4" t="str">
        <f>IF(guodubiaoge!$B4="Te0+Sim+10",[5]guodubiaoge!$N4,
IF(guodubiaoge!$D4="Te0+Sim+10",[5]guodubiaoge!$O4,
IF(guodubiaoge!$F4="Te0+Sim+10",[5]guodubiaoge!$P4,
IF(guodubiaoge!$H4="Te0+Sim+10",[5]guodubiaoge!$Q4,""))))</f>
        <v/>
      </c>
      <c r="O4">
        <f>IF(guodubiaoge!$B4="Te0+SL+10",[5]guodubiaoge!$N4,
IF(guodubiaoge!$D4="Te0+SL+10",[5]guodubiaoge!$O4,
IF(guodubiaoge!$F4="Te0+SL+10",[5]guodubiaoge!$P4,
IF(guodubiaoge!$H4="Te0+SL+10",[5]guodubiaoge!$Q4,""))))</f>
        <v>-274.00254087337203</v>
      </c>
      <c r="P4">
        <f>IF(guodubiaoge!$B4="Te0-10",[5]guodubiaoge!$N4,
IF(guodubiaoge!$D4="Te0-10",[5]guodubiaoge!$O4,
IF(guodubiaoge!$F4="Te0-10",[5]guodubiaoge!$P4,
IF(guodubiaoge!$H4="Te0-10",[5]guodubiaoge!$Q4,""))))</f>
        <v>766.22971578482202</v>
      </c>
      <c r="Q4">
        <f>IF(guodubiaoge!$B4="Te0",[5]guodubiaoge!$R4,
IF(guodubiaoge!$D4="Te0",[5]guodubiaoge!$S4,
IF(guodubiaoge!$F4="Te0",[5]guodubiaoge!$T4,
IF(guodubiaoge!$H4="Te0",[5]guodubiaoge!$U4,""))))</f>
        <v>6</v>
      </c>
      <c r="R4">
        <f>IF(guodubiaoge!$B4="Te0+HF+6",[5]guodubiaoge!$R4,
IF(guodubiaoge!$D4="Te0+HF+6",[5]guodubiaoge!$S4,
IF(guodubiaoge!$F4="Te0+HF+6",[5]guodubiaoge!$T4,
IF(guodubiaoge!$H4="Te0+HF+6",[5]guodubiaoge!$U4,""))))</f>
        <v>6</v>
      </c>
      <c r="S4" t="str">
        <f>IF(guodubiaoge!$B4="Te0+Sim+10",[5]guodubiaoge!$R4,
IF(guodubiaoge!$D4="Te0+Sim+10",[5]guodubiaoge!$S4,
IF(guodubiaoge!$F4="Te0+Sim+10",[5]guodubiaoge!$T4,
IF(guodubiaoge!$H4="Te0+Sim+10",[5]guodubiaoge!$U4,""))))</f>
        <v/>
      </c>
      <c r="T4">
        <f>IF(guodubiaoge!$B4="Te0+SL+10",[5]guodubiaoge!$R4,
IF(guodubiaoge!$D4="Te0+SL+10",[5]guodubiaoge!$S4,
IF(guodubiaoge!$F4="Te0+SL+10",[5]guodubiaoge!$T4,
IF(guodubiaoge!$H4="Te0+SL+10",[5]guodubiaoge!$U4,""))))</f>
        <v>0</v>
      </c>
      <c r="U4">
        <f>IF(guodubiaoge!$B4="Te0-10",[5]guodubiaoge!$R4,
IF(guodubiaoge!$D4="Te0-10",[5]guodubiaoge!$S4,
IF(guodubiaoge!$F4="Te0-10",[5]guodubiaoge!$T4,
IF(guodubiaoge!$H4="Te0-10",[5]guodubiaoge!$U4,""))))</f>
        <v>6</v>
      </c>
      <c r="V4">
        <f>IF(guodubiaoge!$B4="Te0",[5]guodubiaoge!$V4,
IF(guodubiaoge!$D4="Te0",[5]guodubiaoge!$W4,
IF(guodubiaoge!$F4="Te0",[5]guodubiaoge!$X4,
IF(guodubiaoge!$H4="Te0",[5]guodubiaoge!$Y4,""))))</f>
        <v>7</v>
      </c>
      <c r="W4">
        <f>IF(guodubiaoge!$B4="Te0+HF+6",[5]guodubiaoge!$V4,
IF(guodubiaoge!$D4="Te0+HF+6",[5]guodubiaoge!$W4,
IF(guodubiaoge!$F4="Te0+HF+6",[5]guodubiaoge!$X4,
IF(guodubiaoge!$H4="Te0+HF+6",[5]guodubiaoge!$Y4,""))))</f>
        <v>6</v>
      </c>
      <c r="X4" t="str">
        <f>IF(guodubiaoge!$B4="Te0+Sim+10",[5]guodubiaoge!$V4,
IF(guodubiaoge!$D4="Te0+Sim+10",[5]guodubiaoge!$W4,
IF(guodubiaoge!$F4="Te0+Sim+10",[5]guodubiaoge!$X4,
IF(guodubiaoge!$H4="Te0+Sim+10",[5]guodubiaoge!$Y4,""))))</f>
        <v/>
      </c>
      <c r="Y4">
        <f>IF(guodubiaoge!$B4="Te0+SL+10",[5]guodubiaoge!$U4,
IF(guodubiaoge!$D4="Te0+SL+10",[5]guodubiaoge!$W4,
IF(guodubiaoge!$F4="Te0+SL+10",[5]guodubiaoge!$X4,
IF(guodubiaoge!$H4="Te0+SL+10",[5]guodubiaoge!$Y4,""))))</f>
        <v>7</v>
      </c>
      <c r="Z4">
        <f>IF(guodubiaoge!$B4="Te0-10",[5]guodubiaoge!$U4,
IF(guodubiaoge!$D4="Te0-10",[5]guodubiaoge!$W4,
IF(guodubiaoge!$F4="Te0-10",[5]guodubiaoge!$X4,
IF(guodubiaoge!$H4="Te0-10",[5]guodubiaoge!$Y4,""))))</f>
        <v>6</v>
      </c>
      <c r="AA4">
        <f>IF(guodubiaoge!$B4="Te0",[5]guodubiaoge!$Z4,
IF(guodubiaoge!$D4="Te0",[5]guodubiaoge!$AA4,
IF(guodubiaoge!$F4="Te0",[5]guodubiaoge!$AB4,
IF(guodubiaoge!$H4="Te0",[5]guodubiaoge!$AC4,""))))</f>
        <v>-67.696981987364296</v>
      </c>
      <c r="AB4">
        <f>IF(guodubiaoge!$B4="Te0+HF+6",[5]guodubiaoge!$Z4,
IF(guodubiaoge!$D4="Te0+HF+6",[5]guodubiaoge!$AA4,
IF(guodubiaoge!$F4="Te0+HF+6",[5]guodubiaoge!$AB4,
IF(guodubiaoge!$H4="Te0+HF+6",[5]guodubiaoge!$AC4,""))))</f>
        <v>-177.80314505844899</v>
      </c>
      <c r="AC4" t="str">
        <f>IF(guodubiaoge!$B4="Te0+Sim+10",[5]guodubiaoge!$Z4,
IF(guodubiaoge!$D4="Te0+Sim+10",[5]guodubiaoge!$AA4,
IF(guodubiaoge!$F4="Te0+Sim+10",[5]guodubiaoge!$AB4,
IF(guodubiaoge!$H4="Te0+Sim+10",[5]guodubiaoge!$AC4,""))))</f>
        <v/>
      </c>
      <c r="AD4">
        <f>IF(guodubiaoge!$B4="Te0+SL+10",[5]guodubiaoge!$Z4,
IF(guodubiaoge!$D4="Te0+SL+10",[5]guodubiaoge!$AA4,
IF(guodubiaoge!$F4="Te0+SL+10",[5]guodubiaoge!$AB4,
IF(guodubiaoge!$H4="Te0+SL+10",[5]guodubiaoge!$AC4,""))))</f>
        <v>-108.316041578423</v>
      </c>
      <c r="AE4">
        <f>IF(guodubiaoge!$B4="Te0-10",[5]guodubiaoge!$Z4,
IF(guodubiaoge!$D4="Te0-10",[5]guodubiaoge!$AA4,
IF(guodubiaoge!$F4="Te0-10",[5]guodubiaoge!$AB4,
IF(guodubiaoge!$H4="Te0-10",[5]guodubiaoge!$AC4,""))))</f>
        <v>-4.0094916201343302</v>
      </c>
      <c r="AF4">
        <f t="shared" si="0"/>
        <v>-1.1540450221285983E-2</v>
      </c>
      <c r="AG4" t="str">
        <f t="shared" si="1"/>
        <v/>
      </c>
      <c r="AH4">
        <f t="shared" si="2"/>
        <v>-2.7130893881509408</v>
      </c>
      <c r="AI4">
        <f t="shared" si="3"/>
        <v>-0.40036177826305408</v>
      </c>
      <c r="AJ4" t="str">
        <f t="shared" si="4"/>
        <v/>
      </c>
      <c r="AK4">
        <f t="shared" si="5"/>
        <v>-3.1855502483976212</v>
      </c>
      <c r="AL4">
        <f t="shared" si="6"/>
        <v>-0.41190222848434005</v>
      </c>
      <c r="AM4" t="str">
        <f t="shared" si="7"/>
        <v/>
      </c>
      <c r="AN4">
        <f t="shared" si="8"/>
        <v>-5.8986396365485625</v>
      </c>
      <c r="AO4">
        <f t="shared" si="9"/>
        <v>0.80719756852325208</v>
      </c>
      <c r="AP4" t="str">
        <f t="shared" si="10"/>
        <v/>
      </c>
      <c r="AQ4">
        <f t="shared" si="11"/>
        <v>-1.1040160819957252</v>
      </c>
      <c r="AR4">
        <f t="shared" si="12"/>
        <v>-1.1584882743141067</v>
      </c>
      <c r="AS4" t="str">
        <f t="shared" si="13"/>
        <v/>
      </c>
      <c r="AT4">
        <f t="shared" si="14"/>
        <v>-0.84031108714978919</v>
      </c>
      <c r="AU4">
        <f t="shared" si="15"/>
        <v>1.316404042544991</v>
      </c>
      <c r="AV4" t="str">
        <f t="shared" si="16"/>
        <v/>
      </c>
      <c r="AW4">
        <f t="shared" si="17"/>
        <v>-2.1708865493531428</v>
      </c>
      <c r="AX4" s="21">
        <f t="shared" si="18"/>
        <v>-1.1132301384714396E-3</v>
      </c>
      <c r="AY4">
        <f t="shared" si="19"/>
        <v>-2.4058556473642453E-2</v>
      </c>
      <c r="AZ4" t="str">
        <f t="shared" si="20"/>
        <v/>
      </c>
      <c r="BA4">
        <f t="shared" si="21"/>
        <v>1.4125338890903675E-2</v>
      </c>
      <c r="BB4">
        <f>IF(guodubiaoge!$B4="TE0",[5]guodubiaoge!$AD4,
IF(guodubiaoge!$D4="TE0",[5]guodubiaoge!$AE4,
IF(guodubiaoge!$F4="TE0",[5]guodubiaoge!$AF4,
IF(guodubiaoge!$H4="TE0",[5]guodubiaoge!$AG4,""))))</f>
        <v>-9.0311662399785396E-4</v>
      </c>
      <c r="BC4">
        <f>IF(guodubiaoge!$B4="TE0+HF+6",[5]guodubiaoge!$AD4,
IF(guodubiaoge!$D4="TE0+HF+6",[5]guodubiaoge!$AE4,
IF(guodubiaoge!$F4="TE0+HF+6",[5]guodubiaoge!$AF4,
IF(guodubiaoge!$H4="TE0+HF+6",[5]guodubiaoge!$AG4,""))))</f>
        <v>4.7605117390291102E-4</v>
      </c>
      <c r="BD4" t="str">
        <f>IF(guodubiaoge!$B4="TE0+Sim+10",[5]guodubiaoge!$AD4,
IF(guodubiaoge!$D4="TE0+Sim+10",[5]guodubiaoge!$AE4,
IF(guodubiaoge!$F4="TE0+Sim+10",[5]guodubiaoge!$AF4,
IF(guodubiaoge!$H4="TE0+Sim+10",[5]guodubiaoge!$AG4,""))))</f>
        <v/>
      </c>
      <c r="BE4">
        <f>IF(guodubiaoge!$B4="TE0+SL+10",[5]guodubiaoge!$AD4,
IF(guodubiaoge!$D4="TE0+SL+10",[5]guodubiaoge!$AE4,
IF(guodubiaoge!$F4="TE0+SL+10",[5]guodubiaoge!$AF4,
IF(guodubiaoge!$H4="TE0+SL+10",[5]guodubiaoge!$AG4,""))))</f>
        <v>9.2282540126740196E-4</v>
      </c>
      <c r="BF4">
        <f>IF(guodubiaoge!$B4="TE0",[5]guodubiaoge!$AH4,
IF(guodubiaoge!$D4="TE0",[5]guodubiaoge!$AI4,
IF(guodubiaoge!$F4="TE0",[5]guodubiaoge!$AJ4,
IF(guodubiaoge!$H4="TE0",[5]guodubiaoge!$AK4,""))))</f>
        <v>2.1004761904761599E-2</v>
      </c>
      <c r="BG4">
        <f>IF(guodubiaoge!$B4="TE0+HF+6",[5]guodubiaoge!$AH4,
IF(guodubiaoge!$D4="TE0+HF+6",[5]guodubiaoge!$AI4,
IF(guodubiaoge!$F4="TE0+HF+6",[5]guodubiaoge!$AJ4,
IF(guodubiaoge!$H4="TE0+HF+6",[5]guodubiaoge!$AK4,""))))</f>
        <v>-5.5733634992458501E-2</v>
      </c>
      <c r="BH4" t="str">
        <f>IF(guodubiaoge!$B4="TE0+Sim+10",[5]guodubiaoge!$AH4,
IF(guodubiaoge!$D4="TE0+Sim+10",[5]guodubiaoge!$AI4,
IF(guodubiaoge!$F4="TE0+Sim+10",[5]guodubiaoge!$AJ4,
IF(guodubiaoge!$H4="TE0+Sim+10",[5]guodubiaoge!$AK4,""))))</f>
        <v/>
      </c>
      <c r="BI4">
        <f>IF(guodubiaoge!$B4="TE0+SL+10",[5]guodubiaoge!$AH4,
IF(guodubiaoge!$D4="TE0+SL+10",[5]guodubiaoge!$AI4,
IF(guodubiaoge!$F4="TE0+SL+10",[5]guodubiaoge!$AJ4,
IF(guodubiaoge!$H4="TE0+SL+10",[5]guodubiaoge!$AK4,""))))</f>
        <v>-2.9135847342117899E-2</v>
      </c>
      <c r="BJ4">
        <f>IF(guodubiaoge!$B4="TE0",[5]guodubiaoge!$AL4,
IF(guodubiaoge!$D4="TE0",[5]guodubiaoge!$AM4,
IF(guodubiaoge!$F4="TE0",[5]guodubiaoge!$AN4,
IF(guodubiaoge!$H4="TE0",[5]guodubiaoge!$AO4,""))))</f>
        <v>-83.533449064961502</v>
      </c>
      <c r="BK4">
        <f>IF(guodubiaoge!$B4="TE0+HF+6",[5]guodubiaoge!$AL4,
IF(guodubiaoge!$D4="TE0+HF+6",[5]guodubiaoge!$AM4,
IF(guodubiaoge!$F4="TE0+HF+6",[5]guodubiaoge!$AN4,
IF(guodubiaoge!$H4="TE0+HF+6",[5]guodubiaoge!$AO4,""))))</f>
        <v>-224.99471278916599</v>
      </c>
      <c r="BL4" t="str">
        <f>IF(guodubiaoge!$B4="TE0+Sim+10",[5]guodubiaoge!$AL4,
IF(guodubiaoge!$D4="TE0+Sim+10",[5]guodubiaoge!$AM4,
IF(guodubiaoge!$F4="TE0+Sim+10",[5]guodubiaoge!$AN4,
IF(guodubiaoge!$H4="TE0+Sim+10",[5]guodubiaoge!$AO4,""))))</f>
        <v/>
      </c>
      <c r="BM4">
        <f>IF(guodubiaoge!$B4="TE0+SL+10",[5]guodubiaoge!$AL4,
IF(guodubiaoge!$D4="TE0+SL+10",[5]guodubiaoge!$AM4,
IF(guodubiaoge!$F4="TE0+SL+10",[5]guodubiaoge!$AN4,
IF(guodubiaoge!$H4="TE0+SL+10",[5]guodubiaoge!$AO4,""))))</f>
        <v>-100.308221155296</v>
      </c>
      <c r="BN4">
        <f>IF(guodubiaoge!$B4="TE0",[5]guodubiaoge!$AP4,
IF(guodubiaoge!$D4="TE0",[5]guodubiaoge!$AQ4,
IF(guodubiaoge!$F4="TE0",[5]guodubiaoge!$AR4,
IF(guodubiaoge!$H4="TE0",[5]guodubiaoge!$AS4,""))))</f>
        <v>-109.336316171513</v>
      </c>
      <c r="BO4">
        <f>IF(guodubiaoge!$B4="TE0+HF+6",[5]guodubiaoge!$AP4,
IF(guodubiaoge!$D4="TE0+HF+6",[5]guodubiaoge!$AQ4,
IF(guodubiaoge!$F4="TE0+HF+6",[5]guodubiaoge!$AR4,
IF(guodubiaoge!$H4="TE0+HF+6",[5]guodubiaoge!$AS4,""))))</f>
        <v>119.001187467864</v>
      </c>
      <c r="BP4" t="str">
        <f>IF(guodubiaoge!$B4="TE0+Sim+10",[5]guodubiaoge!$AP4,
IF(guodubiaoge!$D4="TE0+Sim+10",[5]guodubiaoge!$AQ4,
IF(guodubiaoge!$F4="TE0+Sim+10",[5]guodubiaoge!$AR4,
IF(guodubiaoge!$H4="TE0+Sim+10",[5]guodubiaoge!$AS4,""))))</f>
        <v/>
      </c>
      <c r="BQ4">
        <f>IF(guodubiaoge!$B4="TE0+SL+10",[5]guodubiaoge!$AP4,
IF(guodubiaoge!$D4="TE0+SL+10",[5]guodubiaoge!$AQ4,
IF(guodubiaoge!$F4="TE0+SL+10",[5]guodubiaoge!$AR4,
IF(guodubiaoge!$H4="TE0+SL+10",[5]guodubiaoge!$AS4,""))))</f>
        <v>-217.84453781502</v>
      </c>
      <c r="BR4">
        <f t="shared" si="22"/>
        <v>0.13102178034338127</v>
      </c>
      <c r="BS4" s="26">
        <f t="shared" si="23"/>
        <v>0.19807362136506487</v>
      </c>
      <c r="BT4" s="25" t="str">
        <f t="shared" si="24"/>
        <v/>
      </c>
      <c r="BU4" s="26">
        <f t="shared" si="25"/>
        <v>-0.26704985248510699</v>
      </c>
      <c r="BV4" s="26">
        <f t="shared" si="26"/>
        <v>0.3930978419574544</v>
      </c>
      <c r="BW4">
        <f t="shared" si="27"/>
        <v>-0.97294544784003023</v>
      </c>
      <c r="BX4" t="str">
        <f t="shared" si="28"/>
        <v/>
      </c>
      <c r="BY4">
        <f t="shared" si="29"/>
        <v>-0.82770196828936304</v>
      </c>
      <c r="BZ4">
        <f t="shared" si="30"/>
        <v>-0.17838191571555279</v>
      </c>
      <c r="CA4">
        <f t="shared" si="31"/>
        <v>-0.98935655519856902</v>
      </c>
      <c r="CB4" t="str">
        <f t="shared" si="32"/>
        <v/>
      </c>
      <c r="CC4">
        <f t="shared" si="33"/>
        <v>-0.48457495186775001</v>
      </c>
      <c r="CD4">
        <f t="shared" si="34"/>
        <v>-0.63882605744443854</v>
      </c>
      <c r="CE4">
        <f t="shared" si="35"/>
        <v>0.5092064740217388</v>
      </c>
      <c r="CF4" t="str">
        <f t="shared" si="36"/>
        <v/>
      </c>
      <c r="CG4">
        <f t="shared" si="37"/>
        <v>-1.0668704673574174</v>
      </c>
      <c r="CH4">
        <f t="shared" si="38"/>
        <v>0.52411962230083564</v>
      </c>
      <c r="CI4">
        <f t="shared" si="39"/>
        <v>-0.77487182647496533</v>
      </c>
      <c r="CJ4" t="str">
        <f t="shared" si="40"/>
        <v/>
      </c>
      <c r="CK4">
        <f t="shared" si="41"/>
        <v>-1.09475182077447</v>
      </c>
      <c r="CL4">
        <f t="shared" si="42"/>
        <v>-0.46040411773017836</v>
      </c>
      <c r="CM4">
        <f t="shared" si="43"/>
        <v>-2.1478448295126755</v>
      </c>
      <c r="CN4" t="str">
        <f t="shared" si="44"/>
        <v/>
      </c>
      <c r="CO4">
        <f t="shared" si="45"/>
        <v>-1.3248860390175392</v>
      </c>
      <c r="CP4">
        <f>IF(AA4="","",(AA4-AVERAGE($AA$2:AA$26))/_xlfn.STDEV.S($AA$2:$AA$26))</f>
        <v>-0.28202220201462558</v>
      </c>
      <c r="CQ4">
        <f>IF(L4="","",(L4-AVERAGE($L$2:L$26))/_xlfn.STDEV.S($L$2:$L$26))</f>
        <v>-0.49891619235451679</v>
      </c>
      <c r="CR4">
        <f t="shared" si="46"/>
        <v>-1.1377422497989553</v>
      </c>
      <c r="CS4">
        <f>IF(B4="","",(B4-AVERAGE($B$2:B$26))/_xlfn.STDEV.S($B$2:$B$26))</f>
        <v>-9.6126675597953168E-2</v>
      </c>
      <c r="CT4">
        <f>IF(G4="","",(G4-AVERAGE($G$2:G$26))/_xlfn.STDEV.S($G$2:$G$26))</f>
        <v>-0.91115555930205283</v>
      </c>
      <c r="CU4">
        <f t="shared" si="47"/>
        <v>-1.0072822349000059</v>
      </c>
    </row>
    <row r="5" spans="1:99">
      <c r="A5">
        <v>4</v>
      </c>
      <c r="B5" s="21">
        <f>IF(guodubiaoge!$B5="Te0",[5]guodubiaoge!$C5,
IF(guodubiaoge!$D5="Te0",[5]guodubiaoge!$E5,
IF(guodubiaoge!$F5="Te0",[5]guodubiaoge!$G5,
IF(guodubiaoge!$H5="Te0",[5]guodubiaoge!$I5,""))))</f>
        <v>0</v>
      </c>
      <c r="C5">
        <f>IF(guodubiaoge!$B5="Te0+HF+6",[5]guodubiaoge!$C5,
IF(guodubiaoge!$D5="Te0+HF+6",[5]guodubiaoge!$E5,
IF(guodubiaoge!$F5="Te0+HF+6",[5]guodubiaoge!$G5,
IF(guodubiaoge!$H5="Te0+HF+6",[5]guodubiaoge!$I5,""))))</f>
        <v>9.4931166419959896E-4</v>
      </c>
      <c r="D5">
        <f>IF(guodubiaoge!$B5="Te0+Sim+10",[5]guodubiaoge!$C5,
IF(guodubiaoge!$D5="Te0+Sim+10",[5]guodubiaoge!$E5,
IF(guodubiaoge!$F5="Te0+Sim+10",[5]guodubiaoge!$G5,
IF(guodubiaoge!$H5="Te0+Sim+10",[5]guodubiaoge!$I5,""))))</f>
        <v>-5.07519760723739E-4</v>
      </c>
      <c r="E5" t="str">
        <f>IF(guodubiaoge!$B5="Te0+SL+10",[5]guodubiaoge!$C5,
IF(guodubiaoge!$D5="Te0+SL+10",[5]guodubiaoge!$E5,
IF(guodubiaoge!$F5="Te0+SL+10",[5]guodubiaoge!$G5,
IF(guodubiaoge!$H5="Te0+SL+10",[5]guodubiaoge!$I5,""))))</f>
        <v/>
      </c>
      <c r="F5">
        <f>IF(guodubiaoge!$B5="Te0-10",[5]guodubiaoge!$C5,
IF(guodubiaoge!$D5="Te0-10",[5]guodubiaoge!$E5,
IF(guodubiaoge!$F5="Te0-10",[5]guodubiaoge!$G5,
IF(guodubiaoge!$H5="Te0-10",[5]guodubiaoge!$I5,""))))</f>
        <v>5.1625544944283004E-4</v>
      </c>
      <c r="G5">
        <f>IF(guodubiaoge!$B5="Te0",[5]guodubiaoge!$J5,
IF(guodubiaoge!$D5="Te0",[5]guodubiaoge!$K5,
IF(guodubiaoge!$F5="Te0",[5]guodubiaoge!$L5,
IF(guodubiaoge!$H5="Te0",[5]guodubiaoge!$M5,""))))</f>
        <v>0</v>
      </c>
      <c r="H5">
        <f>IF(guodubiaoge!$B5="Te0+HF+6",[5]guodubiaoge!$J5,
IF(guodubiaoge!$D5="Te0+HF+6",[5]guodubiaoge!$K5,
IF(guodubiaoge!$F5="Te0+HF+6",[5]guodubiaoge!$L5,
IF(guodubiaoge!$H5="Te0+HF+6",[5]guodubiaoge!$M5,""))))</f>
        <v>-5.8376204440720302E-2</v>
      </c>
      <c r="I5">
        <f>IF(guodubiaoge!$B5="Te0+Sim+10",[5]guodubiaoge!$J5,
IF(guodubiaoge!$D5="Te0+Sim+10",[5]guodubiaoge!$K5,
IF(guodubiaoge!$F5="Te0+Sim+10",[5]guodubiaoge!$L5,
IF(guodubiaoge!$H5="Te0+Sim+10",[5]guodubiaoge!$M5,""))))</f>
        <v>4.8936363636363799E-2</v>
      </c>
      <c r="J5" t="str">
        <f>IF(guodubiaoge!$B5="Te0+SL+10",[5]guodubiaoge!$J5,
IF(guodubiaoge!$D5="Te0+SL+10",[5]guodubiaoge!$K5,
IF(guodubiaoge!$F5="Te0+SL+10",[5]guodubiaoge!$L5,
IF(guodubiaoge!$H5="Te0+SL+10",[5]guodubiaoge!$M5,""))))</f>
        <v/>
      </c>
      <c r="K5">
        <f>IF(guodubiaoge!$B5="Te0-10",[5]guodubiaoge!$J5,
IF(guodubiaoge!$D5="Te0-10",[5]guodubiaoge!$K5,
IF(guodubiaoge!$F5="Te0-10",[5]guodubiaoge!$L5,
IF(guodubiaoge!$H5="Te0-10",[5]guodubiaoge!$M5,""))))</f>
        <v>3.3182656053624103E-2</v>
      </c>
      <c r="L5">
        <f>IF(guodubiaoge!$B5="Te0",[5]guodubiaoge!$N5,
IF(guodubiaoge!$D5="Te0",[5]guodubiaoge!$O5,
IF(guodubiaoge!$F5="Te0",[5]guodubiaoge!$P5,
IF(guodubiaoge!$H5="Te0",[5]guodubiaoge!$Q5,""))))</f>
        <v>0</v>
      </c>
      <c r="M5">
        <f>IF(guodubiaoge!$B5="Te0+HF+6",[5]guodubiaoge!$N5,
IF(guodubiaoge!$D5="Te0+HF+6",[5]guodubiaoge!$O5,
IF(guodubiaoge!$F5="Te0+HF+6",[5]guodubiaoge!$P5,
IF(guodubiaoge!$H5="Te0+HF+6",[5]guodubiaoge!$Q5,""))))</f>
        <v>-191.88898539533201</v>
      </c>
      <c r="N5">
        <f>IF(guodubiaoge!$B5="Te0+Sim+10",[5]guodubiaoge!$N5,
IF(guodubiaoge!$D5="Te0+Sim+10",[5]guodubiaoge!$O5,
IF(guodubiaoge!$F5="Te0+Sim+10",[5]guodubiaoge!$P5,
IF(guodubiaoge!$H5="Te0+Sim+10",[5]guodubiaoge!$Q5,""))))</f>
        <v>673.26487424787297</v>
      </c>
      <c r="O5" t="str">
        <f>IF(guodubiaoge!$B5="Te0+SL+10",[5]guodubiaoge!$N5,
IF(guodubiaoge!$D5="Te0+SL+10",[5]guodubiaoge!$O5,
IF(guodubiaoge!$F5="Te0+SL+10",[5]guodubiaoge!$P5,
IF(guodubiaoge!$H5="Te0+SL+10",[5]guodubiaoge!$Q5,""))))</f>
        <v/>
      </c>
      <c r="P5">
        <f>IF(guodubiaoge!$B5="Te0-10",[5]guodubiaoge!$N5,
IF(guodubiaoge!$D5="Te0-10",[5]guodubiaoge!$O5,
IF(guodubiaoge!$F5="Te0-10",[5]guodubiaoge!$P5,
IF(guodubiaoge!$H5="Te0-10",[5]guodubiaoge!$Q5,""))))</f>
        <v>-243.465977334012</v>
      </c>
      <c r="Q5">
        <f>IF(guodubiaoge!$B5="Te0",[5]guodubiaoge!$R5,
IF(guodubiaoge!$D5="Te0",[5]guodubiaoge!$S5,
IF(guodubiaoge!$F5="Te0",[5]guodubiaoge!$T5,
IF(guodubiaoge!$H5="Te0",[5]guodubiaoge!$U5,""))))</f>
        <v>0</v>
      </c>
      <c r="R5">
        <f>IF(guodubiaoge!$B5="Te0+HF+6",[5]guodubiaoge!$R5,
IF(guodubiaoge!$D5="Te0+HF+6",[5]guodubiaoge!$S5,
IF(guodubiaoge!$F5="Te0+HF+6",[5]guodubiaoge!$T5,
IF(guodubiaoge!$H5="Te0+HF+6",[5]guodubiaoge!$U5,""))))</f>
        <v>6</v>
      </c>
      <c r="S5">
        <f>IF(guodubiaoge!$B5="Te0+Sim+10",[5]guodubiaoge!$R5,
IF(guodubiaoge!$D5="Te0+Sim+10",[5]guodubiaoge!$S5,
IF(guodubiaoge!$F5="Te0+Sim+10",[5]guodubiaoge!$T5,
IF(guodubiaoge!$H5="Te0+Sim+10",[5]guodubiaoge!$U5,""))))</f>
        <v>5</v>
      </c>
      <c r="T5" t="str">
        <f>IF(guodubiaoge!$B5="Te0+SL+10",[5]guodubiaoge!$R5,
IF(guodubiaoge!$D5="Te0+SL+10",[5]guodubiaoge!$S5,
IF(guodubiaoge!$F5="Te0+SL+10",[5]guodubiaoge!$T5,
IF(guodubiaoge!$H5="Te0+SL+10",[5]guodubiaoge!$U5,""))))</f>
        <v/>
      </c>
      <c r="U5">
        <f>IF(guodubiaoge!$B5="Te0-10",[5]guodubiaoge!$R5,
IF(guodubiaoge!$D5="Te0-10",[5]guodubiaoge!$S5,
IF(guodubiaoge!$F5="Te0-10",[5]guodubiaoge!$T5,
IF(guodubiaoge!$H5="Te0-10",[5]guodubiaoge!$U5,""))))</f>
        <v>6</v>
      </c>
      <c r="V5">
        <f>IF(guodubiaoge!$B5="Te0",[5]guodubiaoge!$V5,
IF(guodubiaoge!$D5="Te0",[5]guodubiaoge!$W5,
IF(guodubiaoge!$F5="Te0",[5]guodubiaoge!$X5,
IF(guodubiaoge!$H5="Te0",[5]guodubiaoge!$Y5,""))))</f>
        <v>0</v>
      </c>
      <c r="W5">
        <f>IF(guodubiaoge!$B5="Te0+HF+6",[5]guodubiaoge!$V5,
IF(guodubiaoge!$D5="Te0+HF+6",[5]guodubiaoge!$W5,
IF(guodubiaoge!$F5="Te0+HF+6",[5]guodubiaoge!$X5,
IF(guodubiaoge!$H5="Te0+HF+6",[5]guodubiaoge!$Y5,""))))</f>
        <v>8</v>
      </c>
      <c r="X5">
        <f>IF(guodubiaoge!$B5="Te0+Sim+10",[5]guodubiaoge!$V5,
IF(guodubiaoge!$D5="Te0+Sim+10",[5]guodubiaoge!$W5,
IF(guodubiaoge!$F5="Te0+Sim+10",[5]guodubiaoge!$X5,
IF(guodubiaoge!$H5="Te0+Sim+10",[5]guodubiaoge!$Y5,""))))</f>
        <v>6</v>
      </c>
      <c r="Y5" t="str">
        <f>IF(guodubiaoge!$B5="Te0+SL+10",[5]guodubiaoge!$U5,
IF(guodubiaoge!$D5="Te0+SL+10",[5]guodubiaoge!$W5,
IF(guodubiaoge!$F5="Te0+SL+10",[5]guodubiaoge!$X5,
IF(guodubiaoge!$H5="Te0+SL+10",[5]guodubiaoge!$Y5,""))))</f>
        <v/>
      </c>
      <c r="Z5">
        <f>IF(guodubiaoge!$B5="Te0-10",[5]guodubiaoge!$U5,
IF(guodubiaoge!$D5="Te0-10",[5]guodubiaoge!$W5,
IF(guodubiaoge!$F5="Te0-10",[5]guodubiaoge!$X5,
IF(guodubiaoge!$H5="Te0-10",[5]guodubiaoge!$Y5,""))))</f>
        <v>8</v>
      </c>
      <c r="AA5">
        <f>IF(guodubiaoge!$B5="Te0",[5]guodubiaoge!$Z5,
IF(guodubiaoge!$D5="Te0",[5]guodubiaoge!$AA5,
IF(guodubiaoge!$F5="Te0",[5]guodubiaoge!$AB5,
IF(guodubiaoge!$H5="Te0",[5]guodubiaoge!$AC5,""))))</f>
        <v>-253.365229190581</v>
      </c>
      <c r="AB5">
        <f>IF(guodubiaoge!$B5="Te0+HF+6",[5]guodubiaoge!$Z5,
IF(guodubiaoge!$D5="Te0+HF+6",[5]guodubiaoge!$AA5,
IF(guodubiaoge!$F5="Te0+HF+6",[5]guodubiaoge!$AB5,
IF(guodubiaoge!$H5="Te0+HF+6",[5]guodubiaoge!$AC5,""))))</f>
        <v>-65.409715339355003</v>
      </c>
      <c r="AC5">
        <f>IF(guodubiaoge!$B5="Te0+Sim+10",[5]guodubiaoge!$Z5,
IF(guodubiaoge!$D5="Te0+Sim+10",[5]guodubiaoge!$AA5,
IF(guodubiaoge!$F5="Te0+Sim+10",[5]guodubiaoge!$AB5,
IF(guodubiaoge!$H5="Te0+Sim+10",[5]guodubiaoge!$AC5,""))))</f>
        <v>55.528991287263104</v>
      </c>
      <c r="AD5" t="str">
        <f>IF(guodubiaoge!$B5="Te0+SL+10",[5]guodubiaoge!$Z5,
IF(guodubiaoge!$D5="Te0+SL+10",[5]guodubiaoge!$AA5,
IF(guodubiaoge!$F5="Te0+SL+10",[5]guodubiaoge!$AB5,
IF(guodubiaoge!$H5="Te0+SL+10",[5]guodubiaoge!$AC5,""))))</f>
        <v/>
      </c>
      <c r="AE5">
        <f>IF(guodubiaoge!$B5="Te0-10",[5]guodubiaoge!$Z5,
IF(guodubiaoge!$D5="Te0-10",[5]guodubiaoge!$AA5,
IF(guodubiaoge!$F5="Te0-10",[5]guodubiaoge!$AB5,
IF(guodubiaoge!$H5="Te0-10",[5]guodubiaoge!$AC5,""))))</f>
        <v>2.98769626765039</v>
      </c>
      <c r="AF5">
        <f t="shared" si="0"/>
        <v>4.2563487481640114E-2</v>
      </c>
      <c r="AG5">
        <f t="shared" si="1"/>
        <v>9.3319968818619786E-2</v>
      </c>
      <c r="AH5" t="str">
        <f t="shared" si="2"/>
        <v/>
      </c>
      <c r="AI5">
        <f t="shared" si="3"/>
        <v>-1.0614534364713597</v>
      </c>
      <c r="AJ5">
        <f t="shared" si="4"/>
        <v>0.2867157091699345</v>
      </c>
      <c r="AK5" t="str">
        <f t="shared" si="5"/>
        <v/>
      </c>
      <c r="AL5">
        <f t="shared" si="6"/>
        <v>-1.0188899489897196</v>
      </c>
      <c r="AM5">
        <f t="shared" si="7"/>
        <v>0.38003567798855431</v>
      </c>
      <c r="AN5" t="str">
        <f t="shared" si="8"/>
        <v/>
      </c>
      <c r="AO5">
        <f t="shared" si="9"/>
        <v>-0.8317238222812533</v>
      </c>
      <c r="AP5">
        <f t="shared" si="10"/>
        <v>1.4306371452416624</v>
      </c>
      <c r="AQ5" t="str">
        <f t="shared" si="11"/>
        <v/>
      </c>
      <c r="AR5">
        <f t="shared" si="12"/>
        <v>-0.45039538433660309</v>
      </c>
      <c r="AS5">
        <f t="shared" si="13"/>
        <v>0.4174417896119938</v>
      </c>
      <c r="AT5" t="str">
        <f t="shared" si="14"/>
        <v/>
      </c>
      <c r="AU5">
        <f t="shared" si="15"/>
        <v>1.0061177930665199</v>
      </c>
      <c r="AV5">
        <f t="shared" si="16"/>
        <v>1.7513791238964009</v>
      </c>
      <c r="AW5" t="str">
        <f t="shared" si="17"/>
        <v/>
      </c>
      <c r="AY5">
        <f t="shared" si="19"/>
        <v>-1.6261962785943083E-2</v>
      </c>
      <c r="AZ5">
        <f t="shared" si="20"/>
        <v>-1.0371014987852704E-2</v>
      </c>
      <c r="BA5" t="str">
        <f t="shared" si="21"/>
        <v/>
      </c>
      <c r="BB5">
        <f>IF(guodubiaoge!$B5="TE0",[5]guodubiaoge!$AD5,
IF(guodubiaoge!$D5="TE0",[5]guodubiaoge!$AE5,
IF(guodubiaoge!$F5="TE0",[5]guodubiaoge!$AF5,
IF(guodubiaoge!$H5="TE0",[5]guodubiaoge!$AG5,""))))</f>
        <v>-1.7699290932370101E-2</v>
      </c>
      <c r="BC5">
        <f>IF(guodubiaoge!$B5="TE0+HF+6",[5]guodubiaoge!$AD5,
IF(guodubiaoge!$D5="TE0+HF+6",[5]guodubiaoge!$AE5,
IF(guodubiaoge!$F5="TE0+HF+6",[5]guodubiaoge!$AF5,
IF(guodubiaoge!$H5="TE0+HF+6",[5]guodubiaoge!$AG5,""))))</f>
        <v>1.3300459503789101E-3</v>
      </c>
      <c r="BD5">
        <f>IF(guodubiaoge!$B5="TE0+Sim+10",[5]guodubiaoge!$AD5,
IF(guodubiaoge!$D5="TE0+Sim+10",[5]guodubiaoge!$AE5,
IF(guodubiaoge!$F5="TE0+Sim+10",[5]guodubiaoge!$AF5,
IF(guodubiaoge!$H5="TE0+Sim+10",[5]guodubiaoge!$AG5,""))))</f>
        <v>-7.1862642642079103E-4</v>
      </c>
      <c r="BE5" t="str">
        <f>IF(guodubiaoge!$B5="TE0+SL+10",[5]guodubiaoge!$AD5,
IF(guodubiaoge!$D5="TE0+SL+10",[5]guodubiaoge!$AE5,
IF(guodubiaoge!$F5="TE0+SL+10",[5]guodubiaoge!$AF5,
IF(guodubiaoge!$H5="TE0+SL+10",[5]guodubiaoge!$AG5,""))))</f>
        <v/>
      </c>
      <c r="BF5">
        <f>IF(guodubiaoge!$B5="TE0",[5]guodubiaoge!$AH5,
IF(guodubiaoge!$D5="TE0",[5]guodubiaoge!$AI5,
IF(guodubiaoge!$F5="TE0",[5]guodubiaoge!$AJ5,
IF(guodubiaoge!$H5="TE0",[5]guodubiaoge!$AK5,""))))</f>
        <v>-0.52546666666666697</v>
      </c>
      <c r="BG5">
        <f>IF(guodubiaoge!$B5="TE0+HF+6",[5]guodubiaoge!$AH5,
IF(guodubiaoge!$D5="TE0+HF+6",[5]guodubiaoge!$AI5,
IF(guodubiaoge!$F5="TE0+HF+6",[5]guodubiaoge!$AJ5,
IF(guodubiaoge!$H5="TE0+HF+6",[5]guodubiaoge!$AK5,""))))</f>
        <v>-9.5920550038195704E-2</v>
      </c>
      <c r="BH5">
        <f>IF(guodubiaoge!$B5="TE0+Sim+10",[5]guodubiaoge!$AH5,
IF(guodubiaoge!$D5="TE0+Sim+10",[5]guodubiaoge!$AI5,
IF(guodubiaoge!$F5="TE0+Sim+10",[5]guodubiaoge!$AJ5,
IF(guodubiaoge!$H5="TE0+Sim+10",[5]guodubiaoge!$AK5,""))))</f>
        <v>-2.00478468899545E-3</v>
      </c>
      <c r="BI5" t="str">
        <f>IF(guodubiaoge!$B5="TE0+SL+10",[5]guodubiaoge!$AH5,
IF(guodubiaoge!$D5="TE0+SL+10",[5]guodubiaoge!$AI5,
IF(guodubiaoge!$F5="TE0+SL+10",[5]guodubiaoge!$AJ5,
IF(guodubiaoge!$H5="TE0+SL+10",[5]guodubiaoge!$AK5,""))))</f>
        <v/>
      </c>
      <c r="BJ5">
        <f>IF(guodubiaoge!$B5="TE0",[5]guodubiaoge!$AL5,
IF(guodubiaoge!$D5="TE0",[5]guodubiaoge!$AM5,
IF(guodubiaoge!$F5="TE0",[5]guodubiaoge!$AN5,
IF(guodubiaoge!$H5="TE0",[5]guodubiaoge!$AO5,""))))</f>
        <v>-329.84578912624698</v>
      </c>
      <c r="BK5">
        <f>IF(guodubiaoge!$B5="TE0+HF+6",[5]guodubiaoge!$AL5,
IF(guodubiaoge!$D5="TE0+HF+6",[5]guodubiaoge!$AM5,
IF(guodubiaoge!$F5="TE0+HF+6",[5]guodubiaoge!$AN5,
IF(guodubiaoge!$H5="TE0+HF+6",[5]guodubiaoge!$AO5,""))))</f>
        <v>-117.43253199101299</v>
      </c>
      <c r="BL5">
        <f>IF(guodubiaoge!$B5="TE0+Sim+10",[5]guodubiaoge!$AL5,
IF(guodubiaoge!$D5="TE0+Sim+10",[5]guodubiaoge!$AM5,
IF(guodubiaoge!$F5="TE0+Sim+10",[5]guodubiaoge!$AN5,
IF(guodubiaoge!$H5="TE0+Sim+10",[5]guodubiaoge!$AO5,""))))</f>
        <v>71.239039104767699</v>
      </c>
      <c r="BM5" t="str">
        <f>IF(guodubiaoge!$B5="TE0+SL+10",[5]guodubiaoge!$AL5,
IF(guodubiaoge!$D5="TE0+SL+10",[5]guodubiaoge!$AM5,
IF(guodubiaoge!$F5="TE0+SL+10",[5]guodubiaoge!$AN5,
IF(guodubiaoge!$H5="TE0+SL+10",[5]guodubiaoge!$AO5,""))))</f>
        <v/>
      </c>
      <c r="BN5">
        <f>IF(guodubiaoge!$B5="TE0",[5]guodubiaoge!$AP5,
IF(guodubiaoge!$D5="TE0",[5]guodubiaoge!$AQ5,
IF(guodubiaoge!$F5="TE0",[5]guodubiaoge!$AR5,
IF(guodubiaoge!$H5="TE0",[5]guodubiaoge!$AS5,""))))</f>
        <v>0</v>
      </c>
      <c r="BO5">
        <f>IF(guodubiaoge!$B5="TE0+HF+6",[5]guodubiaoge!$AP5,
IF(guodubiaoge!$D5="TE0+HF+6",[5]guodubiaoge!$AQ5,
IF(guodubiaoge!$F5="TE0+HF+6",[5]guodubiaoge!$AR5,
IF(guodubiaoge!$H5="TE0+HF+6",[5]guodubiaoge!$AS5,""))))</f>
        <v>365.55237230248099</v>
      </c>
      <c r="BP5">
        <f>IF(guodubiaoge!$B5="TE0+Sim+10",[5]guodubiaoge!$AP5,
IF(guodubiaoge!$D5="TE0+Sim+10",[5]guodubiaoge!$AQ5,
IF(guodubiaoge!$F5="TE0+Sim+10",[5]guodubiaoge!$AR5,
IF(guodubiaoge!$H5="TE0+Sim+10",[5]guodubiaoge!$AS5,""))))</f>
        <v>36.978552534848603</v>
      </c>
      <c r="BQ5" t="str">
        <f>IF(guodubiaoge!$B5="TE0+SL+10",[5]guodubiaoge!$AP5,
IF(guodubiaoge!$D5="TE0+SL+10",[5]guodubiaoge!$AQ5,
IF(guodubiaoge!$F5="TE0+SL+10",[5]guodubiaoge!$AR5,
IF(guodubiaoge!$H5="TE0+SL+10",[5]guodubiaoge!$AS5,""))))</f>
        <v/>
      </c>
      <c r="BR5">
        <f t="shared" si="22"/>
        <v>-3.0911029214741172</v>
      </c>
      <c r="BS5" s="26">
        <f t="shared" si="23"/>
        <v>0.29356993007444526</v>
      </c>
      <c r="BT5" s="26">
        <f t="shared" si="24"/>
        <v>-0.30248696375924716</v>
      </c>
      <c r="BU5" s="26" t="str">
        <f t="shared" si="25"/>
        <v/>
      </c>
      <c r="BV5" s="26">
        <f t="shared" si="26"/>
        <v>-4.4732636341376457</v>
      </c>
      <c r="BW5">
        <f t="shared" si="27"/>
        <v>-1.6962423879049191</v>
      </c>
      <c r="BX5">
        <f t="shared" si="28"/>
        <v>0.44670456933789804</v>
      </c>
      <c r="BY5" t="str">
        <f t="shared" si="29"/>
        <v/>
      </c>
      <c r="BZ5">
        <f t="shared" si="30"/>
        <v>-1.3991746255834407</v>
      </c>
      <c r="CA5">
        <f t="shared" si="31"/>
        <v>-0.55770986746976681</v>
      </c>
      <c r="CB5">
        <f t="shared" si="32"/>
        <v>1.3482720366552936</v>
      </c>
      <c r="CC5" t="str">
        <f t="shared" si="33"/>
        <v/>
      </c>
      <c r="CD5">
        <f t="shared" si="34"/>
        <v>5.9979617895178756E-2</v>
      </c>
      <c r="CE5">
        <f t="shared" si="35"/>
        <v>1.8378416153477732</v>
      </c>
      <c r="CF5">
        <f t="shared" si="36"/>
        <v>0.32074197865473847</v>
      </c>
      <c r="CG5" t="str">
        <f t="shared" si="37"/>
        <v/>
      </c>
      <c r="CH5">
        <f t="shared" si="38"/>
        <v>-7.5643665556117625</v>
      </c>
      <c r="CI5">
        <f t="shared" si="39"/>
        <v>-1.4026724578304739</v>
      </c>
      <c r="CJ5">
        <f t="shared" si="40"/>
        <v>0.14421760557865088</v>
      </c>
      <c r="CK5" t="str">
        <f t="shared" si="41"/>
        <v/>
      </c>
      <c r="CL5">
        <f t="shared" si="42"/>
        <v>-2.794800612128292</v>
      </c>
      <c r="CM5">
        <f t="shared" si="43"/>
        <v>-1.00810525180637</v>
      </c>
      <c r="CN5">
        <f t="shared" si="44"/>
        <v>1.7657138262672873</v>
      </c>
      <c r="CO5" t="str">
        <f t="shared" si="45"/>
        <v/>
      </c>
      <c r="CP5">
        <f>IF(AA5="","",(AA5-AVERAGE($AA$2:AA$26))/_xlfn.STDEV.S($AA$2:$AA$26))</f>
        <v>-1.3956259865448513</v>
      </c>
      <c r="CQ5">
        <f>IF(L5="","",(L5-AVERAGE($L$2:L$26))/_xlfn.STDEV.S($L$2:$L$26))</f>
        <v>0.18068843245738275</v>
      </c>
      <c r="CR5">
        <f t="shared" si="46"/>
        <v>0.2406680503525615</v>
      </c>
      <c r="CS5">
        <f>IF(B5="","",(B5-AVERAGE($B$2:B$26))/_xlfn.STDEV.S($B$2:$B$26))</f>
        <v>-9.9357059239652518E-2</v>
      </c>
      <c r="CT5">
        <f>IF(G5="","",(G5-AVERAGE($G$2:G$26))/_xlfn.STDEV.S($G$2:$G$26))</f>
        <v>-0.30173323041804384</v>
      </c>
      <c r="CU5">
        <f t="shared" si="47"/>
        <v>-0.40109028965769633</v>
      </c>
    </row>
    <row r="6" spans="1:99">
      <c r="A6">
        <v>5</v>
      </c>
      <c r="B6" s="21">
        <f>IF(guodubiaoge!$B6="Te0",[5]guodubiaoge!$C6,
IF(guodubiaoge!$D6="Te0",[5]guodubiaoge!$E6,
IF(guodubiaoge!$F6="Te0",[5]guodubiaoge!$G6,
IF(guodubiaoge!$H6="Te0",[5]guodubiaoge!$I6,""))))</f>
        <v>-1.9894004291265801E-4</v>
      </c>
      <c r="C6">
        <f>IF(guodubiaoge!$B6="Te0+HF+6",[5]guodubiaoge!$C6,
IF(guodubiaoge!$D6="Te0+HF+6",[5]guodubiaoge!$E6,
IF(guodubiaoge!$F6="Te0+HF+6",[5]guodubiaoge!$G6,
IF(guodubiaoge!$H6="Te0+HF+6",[5]guodubiaoge!$I6,""))))</f>
        <v>8.6652535990883802E-4</v>
      </c>
      <c r="D6">
        <f>IF(guodubiaoge!$B6="Te0+Sim+10",[5]guodubiaoge!$C6,
IF(guodubiaoge!$D6="Te0+Sim+10",[5]guodubiaoge!$E6,
IF(guodubiaoge!$F6="Te0+Sim+10",[5]guodubiaoge!$G6,
IF(guodubiaoge!$H6="Te0+Sim+10",[5]guodubiaoge!$I6,""))))</f>
        <v>8.2589262242361294E-3</v>
      </c>
      <c r="E6" t="str">
        <f>IF(guodubiaoge!$B6="Te0+SL+10",[5]guodubiaoge!$C6,
IF(guodubiaoge!$D6="Te0+SL+10",[5]guodubiaoge!$E6,
IF(guodubiaoge!$F6="Te0+SL+10",[5]guodubiaoge!$G6,
IF(guodubiaoge!$H6="Te0+SL+10",[5]guodubiaoge!$I6,""))))</f>
        <v/>
      </c>
      <c r="F6">
        <f>IF(guodubiaoge!$B6="Te0-10",[5]guodubiaoge!$C6,
IF(guodubiaoge!$D6="Te0-10",[5]guodubiaoge!$E6,
IF(guodubiaoge!$F6="Te0-10",[5]guodubiaoge!$G6,
IF(guodubiaoge!$H6="Te0-10",[5]guodubiaoge!$I6,""))))</f>
        <v>9.3418245136115601E-4</v>
      </c>
      <c r="G6">
        <f>IF(guodubiaoge!$B6="Te0",[5]guodubiaoge!$J6,
IF(guodubiaoge!$D6="Te0",[5]guodubiaoge!$K6,
IF(guodubiaoge!$F6="Te0",[5]guodubiaoge!$L6,
IF(guodubiaoge!$H6="Te0",[5]guodubiaoge!$M6,""))))</f>
        <v>2.4263117283949899E-2</v>
      </c>
      <c r="H6">
        <f>IF(guodubiaoge!$B6="Te0+HF+6",[5]guodubiaoge!$J6,
IF(guodubiaoge!$D6="Te0+HF+6",[5]guodubiaoge!$K6,
IF(guodubiaoge!$F6="Te0+HF+6",[5]guodubiaoge!$L6,
IF(guodubiaoge!$H6="Te0+HF+6",[5]guodubiaoge!$M6,""))))</f>
        <v>-1.55994865211807E-2</v>
      </c>
      <c r="I6">
        <f>IF(guodubiaoge!$B6="Te0+Sim+10",[5]guodubiaoge!$J6,
IF(guodubiaoge!$D6="Te0+Sim+10",[5]guodubiaoge!$K6,
IF(guodubiaoge!$F6="Te0+Sim+10",[5]guodubiaoge!$L6,
IF(guodubiaoge!$H6="Te0+Sim+10",[5]guodubiaoge!$M6,""))))</f>
        <v>0.49116279069767499</v>
      </c>
      <c r="J6" t="str">
        <f>IF(guodubiaoge!$B6="Te0+SL+10",[5]guodubiaoge!$J6,
IF(guodubiaoge!$D6="Te0+SL+10",[5]guodubiaoge!$K6,
IF(guodubiaoge!$F6="Te0+SL+10",[5]guodubiaoge!$L6,
IF(guodubiaoge!$H6="Te0+SL+10",[5]guodubiaoge!$M6,""))))</f>
        <v/>
      </c>
      <c r="K6">
        <f>IF(guodubiaoge!$B6="Te0-10",[5]guodubiaoge!$J6,
IF(guodubiaoge!$D6="Te0-10",[5]guodubiaoge!$K6,
IF(guodubiaoge!$F6="Te0-10",[5]guodubiaoge!$L6,
IF(guodubiaoge!$H6="Te0-10",[5]guodubiaoge!$M6,""))))</f>
        <v>2.4302439024385101E-3</v>
      </c>
      <c r="L6">
        <f>IF(guodubiaoge!$B6="Te0",[5]guodubiaoge!$N6,
IF(guodubiaoge!$D6="Te0",[5]guodubiaoge!$O6,
IF(guodubiaoge!$F6="Te0",[5]guodubiaoge!$P6,
IF(guodubiaoge!$H6="Te0",[5]guodubiaoge!$Q6,""))))</f>
        <v>-608.25504567015696</v>
      </c>
      <c r="M6">
        <f>IF(guodubiaoge!$B6="Te0+HF+6",[5]guodubiaoge!$N6,
IF(guodubiaoge!$D6="Te0+HF+6",[5]guodubiaoge!$O6,
IF(guodubiaoge!$F6="Te0+HF+6",[5]guodubiaoge!$P6,
IF(guodubiaoge!$H6="Te0+HF+6",[5]guodubiaoge!$Q6,""))))</f>
        <v>3.8429465285555602</v>
      </c>
      <c r="N6">
        <f>IF(guodubiaoge!$B6="Te0+Sim+10",[5]guodubiaoge!$N6,
IF(guodubiaoge!$D6="Te0+Sim+10",[5]guodubiaoge!$O6,
IF(guodubiaoge!$F6="Te0+Sim+10",[5]guodubiaoge!$P6,
IF(guodubiaoge!$H6="Te0+Sim+10",[5]guodubiaoge!$Q6,""))))</f>
        <v>0</v>
      </c>
      <c r="O6" t="str">
        <f>IF(guodubiaoge!$B6="Te0+SL+10",[5]guodubiaoge!$N6,
IF(guodubiaoge!$D6="Te0+SL+10",[5]guodubiaoge!$O6,
IF(guodubiaoge!$F6="Te0+SL+10",[5]guodubiaoge!$P6,
IF(guodubiaoge!$H6="Te0+SL+10",[5]guodubiaoge!$Q6,""))))</f>
        <v/>
      </c>
      <c r="P6">
        <f>IF(guodubiaoge!$B6="Te0-10",[5]guodubiaoge!$N6,
IF(guodubiaoge!$D6="Te0-10",[5]guodubiaoge!$O6,
IF(guodubiaoge!$F6="Te0-10",[5]guodubiaoge!$P6,
IF(guodubiaoge!$H6="Te0-10",[5]guodubiaoge!$Q6,""))))</f>
        <v>46.820556952534503</v>
      </c>
      <c r="Q6">
        <f>IF(guodubiaoge!$B6="Te0",[5]guodubiaoge!$R6,
IF(guodubiaoge!$D6="Te0",[5]guodubiaoge!$S6,
IF(guodubiaoge!$F6="Te0",[5]guodubiaoge!$T6,
IF(guodubiaoge!$H6="Te0",[5]guodubiaoge!$U6,""))))</f>
        <v>6</v>
      </c>
      <c r="R6">
        <f>IF(guodubiaoge!$B6="Te0+HF+6",[5]guodubiaoge!$R6,
IF(guodubiaoge!$D6="Te0+HF+6",[5]guodubiaoge!$S6,
IF(guodubiaoge!$F6="Te0+HF+6",[5]guodubiaoge!$T6,
IF(guodubiaoge!$H6="Te0+HF+6",[5]guodubiaoge!$U6,""))))</f>
        <v>4</v>
      </c>
      <c r="S6">
        <f>IF(guodubiaoge!$B6="Te0+Sim+10",[5]guodubiaoge!$R6,
IF(guodubiaoge!$D6="Te0+Sim+10",[5]guodubiaoge!$S6,
IF(guodubiaoge!$F6="Te0+Sim+10",[5]guodubiaoge!$T6,
IF(guodubiaoge!$H6="Te0+Sim+10",[5]guodubiaoge!$U6,""))))</f>
        <v>5</v>
      </c>
      <c r="T6" t="str">
        <f>IF(guodubiaoge!$B6="Te0+SL+10",[5]guodubiaoge!$R6,
IF(guodubiaoge!$D6="Te0+SL+10",[5]guodubiaoge!$S6,
IF(guodubiaoge!$F6="Te0+SL+10",[5]guodubiaoge!$T6,
IF(guodubiaoge!$H6="Te0+SL+10",[5]guodubiaoge!$U6,""))))</f>
        <v/>
      </c>
      <c r="U6">
        <f>IF(guodubiaoge!$B6="Te0-10",[5]guodubiaoge!$R6,
IF(guodubiaoge!$D6="Te0-10",[5]guodubiaoge!$S6,
IF(guodubiaoge!$F6="Te0-10",[5]guodubiaoge!$T6,
IF(guodubiaoge!$H6="Te0-10",[5]guodubiaoge!$U6,""))))</f>
        <v>4</v>
      </c>
      <c r="V6">
        <f>IF(guodubiaoge!$B6="Te0",[5]guodubiaoge!$V6,
IF(guodubiaoge!$D6="Te0",[5]guodubiaoge!$W6,
IF(guodubiaoge!$F6="Te0",[5]guodubiaoge!$X6,
IF(guodubiaoge!$H6="Te0",[5]guodubiaoge!$Y6,""))))</f>
        <v>4</v>
      </c>
      <c r="W6">
        <f>IF(guodubiaoge!$B6="Te0+HF+6",[5]guodubiaoge!$V6,
IF(guodubiaoge!$D6="Te0+HF+6",[5]guodubiaoge!$W6,
IF(guodubiaoge!$F6="Te0+HF+6",[5]guodubiaoge!$X6,
IF(guodubiaoge!$H6="Te0+HF+6",[5]guodubiaoge!$Y6,""))))</f>
        <v>5</v>
      </c>
      <c r="X6">
        <f>IF(guodubiaoge!$B6="Te0+Sim+10",[5]guodubiaoge!$V6,
IF(guodubiaoge!$D6="Te0+Sim+10",[5]guodubiaoge!$W6,
IF(guodubiaoge!$F6="Te0+Sim+10",[5]guodubiaoge!$X6,
IF(guodubiaoge!$H6="Te0+Sim+10",[5]guodubiaoge!$Y6,""))))</f>
        <v>0</v>
      </c>
      <c r="Y6" t="str">
        <f>IF(guodubiaoge!$B6="Te0+SL+10",[5]guodubiaoge!$U6,
IF(guodubiaoge!$D6="Te0+SL+10",[5]guodubiaoge!$W6,
IF(guodubiaoge!$F6="Te0+SL+10",[5]guodubiaoge!$X6,
IF(guodubiaoge!$H6="Te0+SL+10",[5]guodubiaoge!$Y6,""))))</f>
        <v/>
      </c>
      <c r="Z6">
        <f>IF(guodubiaoge!$B6="Te0-10",[5]guodubiaoge!$U6,
IF(guodubiaoge!$D6="Te0-10",[5]guodubiaoge!$W6,
IF(guodubiaoge!$F6="Te0-10",[5]guodubiaoge!$X6,
IF(guodubiaoge!$H6="Te0-10",[5]guodubiaoge!$Y6,""))))</f>
        <v>5</v>
      </c>
      <c r="AA6">
        <f>IF(guodubiaoge!$B6="Te0",[5]guodubiaoge!$Z6,
IF(guodubiaoge!$D6="Te0",[5]guodubiaoge!$AA6,
IF(guodubiaoge!$F6="Te0",[5]guodubiaoge!$AB6,
IF(guodubiaoge!$H6="Te0",[5]guodubiaoge!$AC6,""))))</f>
        <v>-13.0569304325416</v>
      </c>
      <c r="AB6">
        <f>IF(guodubiaoge!$B6="Te0+HF+6",[5]guodubiaoge!$Z6,
IF(guodubiaoge!$D6="Te0+HF+6",[5]guodubiaoge!$AA6,
IF(guodubiaoge!$F6="Te0+HF+6",[5]guodubiaoge!$AB6,
IF(guodubiaoge!$H6="Te0+HF+6",[5]guodubiaoge!$AC6,""))))</f>
        <v>279.23214240948698</v>
      </c>
      <c r="AC6">
        <f>IF(guodubiaoge!$B6="Te0+Sim+10",[5]guodubiaoge!$Z6,
IF(guodubiaoge!$D6="Te0+Sim+10",[5]guodubiaoge!$AA6,
IF(guodubiaoge!$F6="Te0+Sim+10",[5]guodubiaoge!$AB6,
IF(guodubiaoge!$H6="Te0+Sim+10",[5]guodubiaoge!$AC6,""))))</f>
        <v>-32.470788216270797</v>
      </c>
      <c r="AD6" t="str">
        <f>IF(guodubiaoge!$B6="Te0+SL+10",[5]guodubiaoge!$Z6,
IF(guodubiaoge!$D6="Te0+SL+10",[5]guodubiaoge!$AA6,
IF(guodubiaoge!$F6="Te0+SL+10",[5]guodubiaoge!$AB6,
IF(guodubiaoge!$H6="Te0+SL+10",[5]guodubiaoge!$AC6,""))))</f>
        <v/>
      </c>
      <c r="AE6">
        <f>IF(guodubiaoge!$B6="Te0-10",[5]guodubiaoge!$Z6,
IF(guodubiaoge!$D6="Te0-10",[5]guodubiaoge!$AA6,
IF(guodubiaoge!$F6="Te0-10",[5]guodubiaoge!$AB6,
IF(guodubiaoge!$H6="Te0-10",[5]guodubiaoge!$AC6,""))))</f>
        <v>-7.55319947705821</v>
      </c>
      <c r="AF6">
        <f t="shared" si="0"/>
        <v>1.7840330413959774E-2</v>
      </c>
      <c r="AG6">
        <f t="shared" si="1"/>
        <v>1.0855427026418494</v>
      </c>
      <c r="AH6" t="str">
        <f t="shared" si="2"/>
        <v/>
      </c>
      <c r="AI6">
        <f t="shared" si="3"/>
        <v>7.7831309465485349E-3</v>
      </c>
      <c r="AJ6">
        <f t="shared" si="4"/>
        <v>2.2195074489073461</v>
      </c>
      <c r="AK6" t="str">
        <f t="shared" si="5"/>
        <v/>
      </c>
      <c r="AL6">
        <f t="shared" si="6"/>
        <v>2.5623461360508311E-2</v>
      </c>
      <c r="AM6">
        <f t="shared" si="7"/>
        <v>3.3050501515491955</v>
      </c>
      <c r="AN6" t="str">
        <f t="shared" si="8"/>
        <v/>
      </c>
      <c r="AO6">
        <f t="shared" si="9"/>
        <v>-4.7286494803845391E-2</v>
      </c>
      <c r="AP6">
        <f t="shared" si="10"/>
        <v>-0.38901528359246473</v>
      </c>
      <c r="AQ6" t="str">
        <f t="shared" si="11"/>
        <v/>
      </c>
      <c r="AR6">
        <f t="shared" si="12"/>
        <v>1.7208921159249413</v>
      </c>
      <c r="AS6">
        <f t="shared" si="13"/>
        <v>-0.47126571801769723</v>
      </c>
      <c r="AT6" t="str">
        <f t="shared" si="14"/>
        <v/>
      </c>
      <c r="AU6">
        <f t="shared" si="15"/>
        <v>-0.24618693824449586</v>
      </c>
      <c r="AV6">
        <f t="shared" si="16"/>
        <v>0.38918066703081566</v>
      </c>
      <c r="AW6" t="str">
        <f t="shared" si="17"/>
        <v/>
      </c>
      <c r="AX6" s="21">
        <f t="shared" si="18"/>
        <v>-8.1992779651713279E-3</v>
      </c>
      <c r="AY6">
        <f t="shared" si="19"/>
        <v>-5.554832582035861E-2</v>
      </c>
      <c r="AZ6">
        <f t="shared" si="20"/>
        <v>1.6815048657298919E-2</v>
      </c>
      <c r="BA6" t="str">
        <f t="shared" si="21"/>
        <v/>
      </c>
      <c r="BB6">
        <f>IF(guodubiaoge!$B6="TE0",[5]guodubiaoge!$AD6,
IF(guodubiaoge!$D6="TE0",[5]guodubiaoge!$AE6,
IF(guodubiaoge!$F6="TE0",[5]guodubiaoge!$AF6,
IF(guodubiaoge!$H6="TE0",[5]guodubiaoge!$AG6,""))))</f>
        <v>-1.1795593561321E-4</v>
      </c>
      <c r="BC6">
        <f>IF(guodubiaoge!$B6="TE0+HF+6",[5]guodubiaoge!$AD6,
IF(guodubiaoge!$D6="TE0+HF+6",[5]guodubiaoge!$AE6,
IF(guodubiaoge!$F6="TE0+HF+6",[5]guodubiaoge!$AF6,
IF(guodubiaoge!$H6="TE0+HF+6",[5]guodubiaoge!$AG6,""))))</f>
        <v>8.7681266153499804E-4</v>
      </c>
      <c r="BD6">
        <f>IF(guodubiaoge!$B6="TE0+Sim+10",[5]guodubiaoge!$AD6,
IF(guodubiaoge!$D6="TE0+Sim+10",[5]guodubiaoge!$AE6,
IF(guodubiaoge!$F6="TE0+Sim+10",[5]guodubiaoge!$AF6,
IF(guodubiaoge!$H6="TE0+Sim+10",[5]guodubiaoge!$AG6,""))))</f>
        <v>-6.95285329727702E-3</v>
      </c>
      <c r="BE6" t="str">
        <f>IF(guodubiaoge!$B6="TE0+SL+10",[5]guodubiaoge!$AD6,
IF(guodubiaoge!$D6="TE0+SL+10",[5]guodubiaoge!$AE6,
IF(guodubiaoge!$F6="TE0+SL+10",[5]guodubiaoge!$AF6,
IF(guodubiaoge!$H6="TE0+SL+10",[5]guodubiaoge!$AG6,""))))</f>
        <v/>
      </c>
      <c r="BF6">
        <f>IF(guodubiaoge!$B6="TE0",[5]guodubiaoge!$AH6,
IF(guodubiaoge!$D6="TE0",[5]guodubiaoge!$AI6,
IF(guodubiaoge!$F6="TE0",[5]guodubiaoge!$AJ6,
IF(guodubiaoge!$H6="TE0",[5]guodubiaoge!$AK6,""))))</f>
        <v>-0.100155771195097</v>
      </c>
      <c r="BG6">
        <f>IF(guodubiaoge!$B6="TE0+HF+6",[5]guodubiaoge!$AH6,
IF(guodubiaoge!$D6="TE0+HF+6",[5]guodubiaoge!$AI6,
IF(guodubiaoge!$F6="TE0+HF+6",[5]guodubiaoge!$AJ6,
IF(guodubiaoge!$H6="TE0+HF+6",[5]guodubiaoge!$AK6,""))))</f>
        <v>2.9887005649717101E-2</v>
      </c>
      <c r="BH6">
        <f>IF(guodubiaoge!$B6="TE0+Sim+10",[5]guodubiaoge!$AH6,
IF(guodubiaoge!$D6="TE0+Sim+10",[5]guodubiaoge!$AI6,
IF(guodubiaoge!$F6="TE0+Sim+10",[5]guodubiaoge!$AJ6,
IF(guodubiaoge!$H6="TE0+Sim+10",[5]guodubiaoge!$AK6,""))))</f>
        <v>-0.53646511627907001</v>
      </c>
      <c r="BI6" t="str">
        <f>IF(guodubiaoge!$B6="TE0+SL+10",[5]guodubiaoge!$AH6,
IF(guodubiaoge!$D6="TE0+SL+10",[5]guodubiaoge!$AI6,
IF(guodubiaoge!$F6="TE0+SL+10",[5]guodubiaoge!$AJ6,
IF(guodubiaoge!$H6="TE0+SL+10",[5]guodubiaoge!$AK6,""))))</f>
        <v/>
      </c>
      <c r="BJ6">
        <f>IF(guodubiaoge!$B6="TE0",[5]guodubiaoge!$AL6,
IF(guodubiaoge!$D6="TE0",[5]guodubiaoge!$AM6,
IF(guodubiaoge!$F6="TE0",[5]guodubiaoge!$AN6,
IF(guodubiaoge!$H6="TE0",[5]guodubiaoge!$AO6,""))))</f>
        <v>-64.169696898146597</v>
      </c>
      <c r="BK6">
        <f>IF(guodubiaoge!$B6="TE0+HF+6",[5]guodubiaoge!$AL6,
IF(guodubiaoge!$D6="TE0+HF+6",[5]guodubiaoge!$AM6,
IF(guodubiaoge!$F6="TE0+HF+6",[5]guodubiaoge!$AN6,
IF(guodubiaoge!$H6="TE0+HF+6",[5]guodubiaoge!$AO6,""))))</f>
        <v>397.28358495496502</v>
      </c>
      <c r="BL6">
        <f>IF(guodubiaoge!$B6="TE0+Sim+10",[5]guodubiaoge!$AL6,
IF(guodubiaoge!$D6="TE0+Sim+10",[5]guodubiaoge!$AM6,
IF(guodubiaoge!$F6="TE0+Sim+10",[5]guodubiaoge!$AN6,
IF(guodubiaoge!$H6="TE0+Sim+10",[5]guodubiaoge!$AO6,""))))</f>
        <v>-12.5780995765284</v>
      </c>
      <c r="BM6" t="str">
        <f>IF(guodubiaoge!$B6="TE0+SL+10",[5]guodubiaoge!$AL6,
IF(guodubiaoge!$D6="TE0+SL+10",[5]guodubiaoge!$AM6,
IF(guodubiaoge!$F6="TE0+SL+10",[5]guodubiaoge!$AN6,
IF(guodubiaoge!$H6="TE0+SL+10",[5]guodubiaoge!$AO6,""))))</f>
        <v/>
      </c>
      <c r="BN6">
        <f>IF(guodubiaoge!$B6="TE0",[5]guodubiaoge!$AP6,
IF(guodubiaoge!$D6="TE0",[5]guodubiaoge!$AQ6,
IF(guodubiaoge!$F6="TE0",[5]guodubiaoge!$AR6,
IF(guodubiaoge!$H6="TE0",[5]guodubiaoge!$AS6,""))))</f>
        <v>10.408606933690701</v>
      </c>
      <c r="BO6">
        <f>IF(guodubiaoge!$B6="TE0+HF+6",[5]guodubiaoge!$AP6,
IF(guodubiaoge!$D6="TE0+HF+6",[5]guodubiaoge!$AQ6,
IF(guodubiaoge!$F6="TE0+HF+6",[5]guodubiaoge!$AR6,
IF(guodubiaoge!$H6="TE0+HF+6",[5]guodubiaoge!$AS6,""))))</f>
        <v>-12.4002741220331</v>
      </c>
      <c r="BP6">
        <f>IF(guodubiaoge!$B6="TE0+Sim+10",[5]guodubiaoge!$AP6,
IF(guodubiaoge!$D6="TE0+Sim+10",[5]guodubiaoge!$AQ6,
IF(guodubiaoge!$F6="TE0+Sim+10",[5]guodubiaoge!$AR6,
IF(guodubiaoge!$H6="TE0+Sim+10",[5]guodubiaoge!$AS6,""))))</f>
        <v>132.53707879713201</v>
      </c>
      <c r="BQ6" t="str">
        <f>IF(guodubiaoge!$B6="TE0+SL+10",[5]guodubiaoge!$AP6,
IF(guodubiaoge!$D6="TE0+SL+10",[5]guodubiaoge!$AQ6,
IF(guodubiaoge!$F6="TE0+SL+10",[5]guodubiaoge!$AR6,
IF(guodubiaoge!$H6="TE0+SL+10",[5]guodubiaoge!$AS6,""))))</f>
        <v/>
      </c>
      <c r="BR6">
        <f t="shared" si="22"/>
        <v>0.28164451159707765</v>
      </c>
      <c r="BS6" s="26">
        <f t="shared" si="23"/>
        <v>0.24288799704505465</v>
      </c>
      <c r="BT6" s="26">
        <f t="shared" si="24"/>
        <v>-0.32089867209744743</v>
      </c>
      <c r="BU6" s="26" t="str">
        <f t="shared" si="25"/>
        <v/>
      </c>
      <c r="BV6" s="26">
        <f t="shared" si="26"/>
        <v>-0.68584411158921643</v>
      </c>
      <c r="BW6">
        <f t="shared" si="27"/>
        <v>0.56808220537492271</v>
      </c>
      <c r="BX6">
        <f t="shared" si="28"/>
        <v>-2.6247845207733498</v>
      </c>
      <c r="BY6" t="str">
        <f t="shared" si="29"/>
        <v/>
      </c>
      <c r="BZ6">
        <f t="shared" si="30"/>
        <v>-8.2409755022936029E-2</v>
      </c>
      <c r="CA6">
        <f t="shared" si="31"/>
        <v>1.5078442645842136</v>
      </c>
      <c r="CB6">
        <f t="shared" si="32"/>
        <v>0.29924092118684442</v>
      </c>
      <c r="CC6" t="str">
        <f t="shared" si="33"/>
        <v/>
      </c>
      <c r="CD6">
        <f t="shared" si="34"/>
        <v>0.12650457366771878</v>
      </c>
      <c r="CE6">
        <f t="shared" si="35"/>
        <v>-0.19890044344065047</v>
      </c>
      <c r="CF6">
        <f t="shared" si="36"/>
        <v>0.7781959506232804</v>
      </c>
      <c r="CG6" t="str">
        <f t="shared" si="37"/>
        <v/>
      </c>
      <c r="CH6">
        <f t="shared" si="38"/>
        <v>-0.40419959999213878</v>
      </c>
      <c r="CI6">
        <f t="shared" si="39"/>
        <v>0.81097020241997742</v>
      </c>
      <c r="CJ6">
        <f t="shared" si="40"/>
        <v>-2.9456831928707974</v>
      </c>
      <c r="CK6" t="str">
        <f t="shared" si="41"/>
        <v/>
      </c>
      <c r="CL6">
        <f t="shared" si="42"/>
        <v>-3.6711040214455988E-2</v>
      </c>
      <c r="CM6">
        <f t="shared" si="43"/>
        <v>3.2287363805091549</v>
      </c>
      <c r="CN6">
        <f t="shared" si="44"/>
        <v>-0.17202479683085281</v>
      </c>
      <c r="CO6" t="str">
        <f t="shared" si="45"/>
        <v/>
      </c>
      <c r="CP6">
        <f>IF(AA6="","",(AA6-AVERAGE($AA$2:AA$26))/_xlfn.STDEV.S($AA$2:$AA$26))</f>
        <v>4.5698714808480041E-2</v>
      </c>
      <c r="CQ6">
        <f>IF(L6="","",(L6-AVERAGE($L$2:L$26))/_xlfn.STDEV.S($L$2:$L$26))</f>
        <v>-2.4707130240673272</v>
      </c>
      <c r="CR6">
        <f t="shared" si="46"/>
        <v>-2.3442084503996083</v>
      </c>
      <c r="CS6">
        <f>IF(B6="","",(B6-AVERAGE($B$2:B$26))/_xlfn.STDEV.S($B$2:$B$26))</f>
        <v>-0.11263662220218199</v>
      </c>
      <c r="CT6">
        <f>IF(G6="","",(G6-AVERAGE($G$2:G$26))/_xlfn.STDEV.S($G$2:$G$26))</f>
        <v>3.8406519614785924E-2</v>
      </c>
      <c r="CU6">
        <f t="shared" si="47"/>
        <v>-7.4230102587396068E-2</v>
      </c>
    </row>
    <row r="7" spans="1:99">
      <c r="A7">
        <v>6</v>
      </c>
      <c r="B7" s="21">
        <f>IF(guodubiaoge!$B7="Te0",[5]guodubiaoge!$C7,
IF(guodubiaoge!$D7="Te0",[5]guodubiaoge!$E7,
IF(guodubiaoge!$F7="Te0",[5]guodubiaoge!$G7,
IF(guodubiaoge!$H7="Te0",[5]guodubiaoge!$I7,""))))</f>
        <v>-3.9773174098647604E-3</v>
      </c>
      <c r="C7">
        <f>IF(guodubiaoge!$B7="Te0+HF+6",[5]guodubiaoge!$C7,
IF(guodubiaoge!$D7="Te0+HF+6",[5]guodubiaoge!$E7,
IF(guodubiaoge!$F7="Te0+HF+6",[5]guodubiaoge!$G7,
IF(guodubiaoge!$H7="Te0+HF+6",[5]guodubiaoge!$I7,""))))</f>
        <v>-6.9974486950602998E-4</v>
      </c>
      <c r="D7" t="str">
        <f>IF(guodubiaoge!$B7="Te0+Sim+10",[5]guodubiaoge!$C7,
IF(guodubiaoge!$D7="Te0+Sim+10",[5]guodubiaoge!$E7,
IF(guodubiaoge!$F7="Te0+Sim+10",[5]guodubiaoge!$G7,
IF(guodubiaoge!$H7="Te0+Sim+10",[5]guodubiaoge!$I7,""))))</f>
        <v/>
      </c>
      <c r="E7">
        <f>IF(guodubiaoge!$B7="Te0+SL+10",[5]guodubiaoge!$C7,
IF(guodubiaoge!$D7="Te0+SL+10",[5]guodubiaoge!$E7,
IF(guodubiaoge!$F7="Te0+SL+10",[5]guodubiaoge!$G7,
IF(guodubiaoge!$H7="Te0+SL+10",[5]guodubiaoge!$I7,""))))</f>
        <v>4.0308429270426198E-4</v>
      </c>
      <c r="F7">
        <f>IF(guodubiaoge!$B7="Te0-10",[5]guodubiaoge!$C7,
IF(guodubiaoge!$D7="Te0-10",[5]guodubiaoge!$E7,
IF(guodubiaoge!$F7="Te0-10",[5]guodubiaoge!$G7,
IF(guodubiaoge!$H7="Te0-10",[5]guodubiaoge!$I7,""))))</f>
        <v>-3.1334049557145698E-4</v>
      </c>
      <c r="G7">
        <f>IF(guodubiaoge!$B7="Te0",[5]guodubiaoge!$J7,
IF(guodubiaoge!$D7="Te0",[5]guodubiaoge!$K7,
IF(guodubiaoge!$F7="Te0",[5]guodubiaoge!$L7,
IF(guodubiaoge!$H7="Te0",[5]guodubiaoge!$M7,""))))</f>
        <v>5.8970588235293803E-2</v>
      </c>
      <c r="H7">
        <f>IF(guodubiaoge!$B7="Te0+HF+6",[5]guodubiaoge!$J7,
IF(guodubiaoge!$D7="Te0+HF+6",[5]guodubiaoge!$K7,
IF(guodubiaoge!$F7="Te0+HF+6",[5]guodubiaoge!$L7,
IF(guodubiaoge!$H7="Te0+HF+6",[5]guodubiaoge!$M7,""))))</f>
        <v>-7.2167460317460894E-2</v>
      </c>
      <c r="I7" t="str">
        <f>IF(guodubiaoge!$B7="Te0+Sim+10",[5]guodubiaoge!$J7,
IF(guodubiaoge!$D7="Te0+Sim+10",[5]guodubiaoge!$K7,
IF(guodubiaoge!$F7="Te0+Sim+10",[5]guodubiaoge!$L7,
IF(guodubiaoge!$H7="Te0+Sim+10",[5]guodubiaoge!$M7,""))))</f>
        <v/>
      </c>
      <c r="J7">
        <f>IF(guodubiaoge!$B7="Te0+SL+10",[5]guodubiaoge!$J7,
IF(guodubiaoge!$D7="Te0+SL+10",[5]guodubiaoge!$K7,
IF(guodubiaoge!$F7="Te0+SL+10",[5]guodubiaoge!$L7,
IF(guodubiaoge!$H7="Te0+SL+10",[5]guodubiaoge!$M7,""))))</f>
        <v>-2.2214092140921501E-2</v>
      </c>
      <c r="K7">
        <f>IF(guodubiaoge!$B7="Te0-10",[5]guodubiaoge!$J7,
IF(guodubiaoge!$D7="Te0-10",[5]guodubiaoge!$K7,
IF(guodubiaoge!$F7="Te0-10",[5]guodubiaoge!$L7,
IF(guodubiaoge!$H7="Te0-10",[5]guodubiaoge!$M7,""))))</f>
        <v>-3.00203007518784E-2</v>
      </c>
      <c r="L7">
        <f>IF(guodubiaoge!$B7="Te0",[5]guodubiaoge!$N7,
IF(guodubiaoge!$D7="Te0",[5]guodubiaoge!$O7,
IF(guodubiaoge!$F7="Te0",[5]guodubiaoge!$P7,
IF(guodubiaoge!$H7="Te0",[5]guodubiaoge!$Q7,""))))</f>
        <v>-487.71234088987302</v>
      </c>
      <c r="M7">
        <f>IF(guodubiaoge!$B7="Te0+HF+6",[5]guodubiaoge!$N7,
IF(guodubiaoge!$D7="Te0+HF+6",[5]guodubiaoge!$O7,
IF(guodubiaoge!$F7="Te0+HF+6",[5]guodubiaoge!$P7,
IF(guodubiaoge!$H7="Te0+HF+6",[5]guodubiaoge!$Q7,""))))</f>
        <v>-1.7251970252632001</v>
      </c>
      <c r="N7" t="str">
        <f>IF(guodubiaoge!$B7="Te0+Sim+10",[5]guodubiaoge!$N7,
IF(guodubiaoge!$D7="Te0+Sim+10",[5]guodubiaoge!$O7,
IF(guodubiaoge!$F7="Te0+Sim+10",[5]guodubiaoge!$P7,
IF(guodubiaoge!$H7="Te0+Sim+10",[5]guodubiaoge!$Q7,""))))</f>
        <v/>
      </c>
      <c r="O7">
        <f>IF(guodubiaoge!$B7="Te0+SL+10",[5]guodubiaoge!$N7,
IF(guodubiaoge!$D7="Te0+SL+10",[5]guodubiaoge!$O7,
IF(guodubiaoge!$F7="Te0+SL+10",[5]guodubiaoge!$P7,
IF(guodubiaoge!$H7="Te0+SL+10",[5]guodubiaoge!$Q7,""))))</f>
        <v>-50.108164688338903</v>
      </c>
      <c r="P7">
        <f>IF(guodubiaoge!$B7="Te0-10",[5]guodubiaoge!$N7,
IF(guodubiaoge!$D7="Te0-10",[5]guodubiaoge!$O7,
IF(guodubiaoge!$F7="Te0-10",[5]guodubiaoge!$P7,
IF(guodubiaoge!$H7="Te0-10",[5]guodubiaoge!$Q7,""))))</f>
        <v>-21.1838591391572</v>
      </c>
      <c r="Q7">
        <f>IF(guodubiaoge!$B7="Te0",[5]guodubiaoge!$R7,
IF(guodubiaoge!$D7="Te0",[5]guodubiaoge!$S7,
IF(guodubiaoge!$F7="Te0",[5]guodubiaoge!$T7,
IF(guodubiaoge!$H7="Te0",[5]guodubiaoge!$U7,""))))</f>
        <v>5</v>
      </c>
      <c r="R7">
        <f>IF(guodubiaoge!$B7="Te0+HF+6",[5]guodubiaoge!$R7,
IF(guodubiaoge!$D7="Te0+HF+6",[5]guodubiaoge!$S7,
IF(guodubiaoge!$F7="Te0+HF+6",[5]guodubiaoge!$T7,
IF(guodubiaoge!$H7="Te0+HF+6",[5]guodubiaoge!$U7,""))))</f>
        <v>4</v>
      </c>
      <c r="S7" t="str">
        <f>IF(guodubiaoge!$B7="Te0+Sim+10",[5]guodubiaoge!$R7,
IF(guodubiaoge!$D7="Te0+Sim+10",[5]guodubiaoge!$S7,
IF(guodubiaoge!$F7="Te0+Sim+10",[5]guodubiaoge!$T7,
IF(guodubiaoge!$H7="Te0+Sim+10",[5]guodubiaoge!$U7,""))))</f>
        <v/>
      </c>
      <c r="T7">
        <f>IF(guodubiaoge!$B7="Te0+SL+10",[5]guodubiaoge!$R7,
IF(guodubiaoge!$D7="Te0+SL+10",[5]guodubiaoge!$S7,
IF(guodubiaoge!$F7="Te0+SL+10",[5]guodubiaoge!$T7,
IF(guodubiaoge!$H7="Te0+SL+10",[5]guodubiaoge!$U7,""))))</f>
        <v>6</v>
      </c>
      <c r="U7">
        <f>IF(guodubiaoge!$B7="Te0-10",[5]guodubiaoge!$R7,
IF(guodubiaoge!$D7="Te0-10",[5]guodubiaoge!$S7,
IF(guodubiaoge!$F7="Te0-10",[5]guodubiaoge!$T7,
IF(guodubiaoge!$H7="Te0-10",[5]guodubiaoge!$U7,""))))</f>
        <v>6</v>
      </c>
      <c r="V7">
        <f>IF(guodubiaoge!$B7="Te0",[5]guodubiaoge!$V7,
IF(guodubiaoge!$D7="Te0",[5]guodubiaoge!$W7,
IF(guodubiaoge!$F7="Te0",[5]guodubiaoge!$X7,
IF(guodubiaoge!$H7="Te0",[5]guodubiaoge!$Y7,""))))</f>
        <v>7</v>
      </c>
      <c r="W7">
        <f>IF(guodubiaoge!$B7="Te0+HF+6",[5]guodubiaoge!$V7,
IF(guodubiaoge!$D7="Te0+HF+6",[5]guodubiaoge!$W7,
IF(guodubiaoge!$F7="Te0+HF+6",[5]guodubiaoge!$X7,
IF(guodubiaoge!$H7="Te0+HF+6",[5]guodubiaoge!$Y7,""))))</f>
        <v>6</v>
      </c>
      <c r="X7" t="str">
        <f>IF(guodubiaoge!$B7="Te0+Sim+10",[5]guodubiaoge!$V7,
IF(guodubiaoge!$D7="Te0+Sim+10",[5]guodubiaoge!$W7,
IF(guodubiaoge!$F7="Te0+Sim+10",[5]guodubiaoge!$X7,
IF(guodubiaoge!$H7="Te0+Sim+10",[5]guodubiaoge!$Y7,""))))</f>
        <v/>
      </c>
      <c r="Y7">
        <f>IF(guodubiaoge!$B7="Te0+SL+10",[5]guodubiaoge!$U7,
IF(guodubiaoge!$D7="Te0+SL+10",[5]guodubiaoge!$W7,
IF(guodubiaoge!$F7="Te0+SL+10",[5]guodubiaoge!$X7,
IF(guodubiaoge!$H7="Te0+SL+10",[5]guodubiaoge!$Y7,""))))</f>
        <v>6</v>
      </c>
      <c r="Z7">
        <f>IF(guodubiaoge!$B7="Te0-10",[5]guodubiaoge!$U7,
IF(guodubiaoge!$D7="Te0-10",[5]guodubiaoge!$W7,
IF(guodubiaoge!$F7="Te0-10",[5]guodubiaoge!$X7,
IF(guodubiaoge!$H7="Te0-10",[5]guodubiaoge!$Y7,""))))</f>
        <v>5</v>
      </c>
      <c r="AA7">
        <f>IF(guodubiaoge!$B7="Te0",[5]guodubiaoge!$Z7,
IF(guodubiaoge!$D7="Te0",[5]guodubiaoge!$AA7,
IF(guodubiaoge!$F7="Te0",[5]guodubiaoge!$AB7,
IF(guodubiaoge!$H7="Te0",[5]guodubiaoge!$AC7,""))))</f>
        <v>7.8124841542799404</v>
      </c>
      <c r="AB7">
        <f>IF(guodubiaoge!$B7="Te0+HF+6",[5]guodubiaoge!$Z7,
IF(guodubiaoge!$D7="Te0+HF+6",[5]guodubiaoge!$AA7,
IF(guodubiaoge!$F7="Te0+HF+6",[5]guodubiaoge!$AB7,
IF(guodubiaoge!$H7="Te0+HF+6",[5]guodubiaoge!$AC7,""))))</f>
        <v>-6.4285798505655798</v>
      </c>
      <c r="AC7" t="str">
        <f>IF(guodubiaoge!$B7="Te0+Sim+10",[5]guodubiaoge!$Z7,
IF(guodubiaoge!$D7="Te0+Sim+10",[5]guodubiaoge!$AA7,
IF(guodubiaoge!$F7="Te0+Sim+10",[5]guodubiaoge!$AB7,
IF(guodubiaoge!$H7="Te0+Sim+10",[5]guodubiaoge!$AC7,""))))</f>
        <v/>
      </c>
      <c r="AD7">
        <f>IF(guodubiaoge!$B7="Te0+SL+10",[5]guodubiaoge!$Z7,
IF(guodubiaoge!$D7="Te0+SL+10",[5]guodubiaoge!$AA7,
IF(guodubiaoge!$F7="Te0+SL+10",[5]guodubiaoge!$AB7,
IF(guodubiaoge!$H7="Te0+SL+10",[5]guodubiaoge!$AC7,""))))</f>
        <v>0.253950635688582</v>
      </c>
      <c r="AE7">
        <f>IF(guodubiaoge!$B7="Te0-10",[5]guodubiaoge!$Z7,
IF(guodubiaoge!$D7="Te0-10",[5]guodubiaoge!$AA7,
IF(guodubiaoge!$F7="Te0-10",[5]guodubiaoge!$AB7,
IF(guodubiaoge!$H7="Te0-10",[5]guodubiaoge!$AC7,""))))</f>
        <v>-44.409952202827</v>
      </c>
      <c r="AF7">
        <f t="shared" si="0"/>
        <v>-0.44990787049923231</v>
      </c>
      <c r="AG7" t="str">
        <f t="shared" si="1"/>
        <v/>
      </c>
      <c r="AH7">
        <f t="shared" si="2"/>
        <v>0.30367464528447385</v>
      </c>
      <c r="AI7">
        <f t="shared" si="3"/>
        <v>-1.4061763561157494</v>
      </c>
      <c r="AJ7" t="str">
        <f t="shared" si="4"/>
        <v/>
      </c>
      <c r="AK7">
        <f t="shared" si="5"/>
        <v>0.19190660019383388</v>
      </c>
      <c r="AL7">
        <f t="shared" si="6"/>
        <v>-1.8560842266149817</v>
      </c>
      <c r="AM7" t="str">
        <f t="shared" si="7"/>
        <v/>
      </c>
      <c r="AN7">
        <f t="shared" si="8"/>
        <v>0.49558124547830773</v>
      </c>
      <c r="AO7">
        <f t="shared" si="9"/>
        <v>-6.9602013817200006E-2</v>
      </c>
      <c r="AP7" t="str">
        <f t="shared" si="10"/>
        <v/>
      </c>
      <c r="AQ7">
        <f t="shared" si="11"/>
        <v>-0.26150208987672408</v>
      </c>
      <c r="AR7">
        <f t="shared" si="12"/>
        <v>-7.8806735544648968E-2</v>
      </c>
      <c r="AS7" t="str">
        <f t="shared" si="13"/>
        <v/>
      </c>
      <c r="AT7">
        <f t="shared" si="14"/>
        <v>0.29954367619061628</v>
      </c>
      <c r="AU7">
        <f t="shared" si="15"/>
        <v>-0.34910368426541633</v>
      </c>
      <c r="AV7" t="str">
        <f t="shared" si="16"/>
        <v/>
      </c>
      <c r="AW7">
        <f t="shared" si="17"/>
        <v>-0.40679756927187771</v>
      </c>
      <c r="AX7" s="21">
        <f t="shared" si="18"/>
        <v>-6.7445781513916503E-2</v>
      </c>
      <c r="AY7">
        <f t="shared" si="19"/>
        <v>9.6961271247164409E-3</v>
      </c>
      <c r="AZ7" t="str">
        <f t="shared" si="20"/>
        <v/>
      </c>
      <c r="BA7">
        <f t="shared" si="21"/>
        <v>-1.8145431744281085E-2</v>
      </c>
      <c r="BB7">
        <f>IF(guodubiaoge!$B7="TE0",[5]guodubiaoge!$AD7,
IF(guodubiaoge!$D7="TE0",[5]guodubiaoge!$AE7,
IF(guodubiaoge!$F7="TE0",[5]guodubiaoge!$AF7,
IF(guodubiaoge!$H7="TE0",[5]guodubiaoge!$AG7,""))))</f>
        <v>-3.7560013400467999E-3</v>
      </c>
      <c r="BC7">
        <f>IF(guodubiaoge!$B7="TE0+HF+6",[5]guodubiaoge!$AD7,
IF(guodubiaoge!$D7="TE0+HF+6",[5]guodubiaoge!$AE7,
IF(guodubiaoge!$F7="TE0+HF+6",[5]guodubiaoge!$AF7,
IF(guodubiaoge!$H7="TE0+HF+6",[5]guodubiaoge!$AG7,""))))</f>
        <v>-3.1157410125446999E-4</v>
      </c>
      <c r="BD7" t="str">
        <f>IF(guodubiaoge!$B7="TE0+Sim+10",[5]guodubiaoge!$AD7,
IF(guodubiaoge!$D7="TE0+Sim+10",[5]guodubiaoge!$AE7,
IF(guodubiaoge!$F7="TE0+Sim+10",[5]guodubiaoge!$AF7,
IF(guodubiaoge!$H7="TE0+Sim+10",[5]guodubiaoge!$AG7,""))))</f>
        <v/>
      </c>
      <c r="BE7">
        <f>IF(guodubiaoge!$B7="TE0+SL+10",[5]guodubiaoge!$AD7,
IF(guodubiaoge!$D7="TE0+SL+10",[5]guodubiaoge!$AE7,
IF(guodubiaoge!$F7="TE0+SL+10",[5]guodubiaoge!$AF7,
IF(guodubiaoge!$H7="TE0+SL+10",[5]guodubiaoge!$AG7,""))))</f>
        <v>2.22923671609175E-3</v>
      </c>
      <c r="BF7">
        <f>IF(guodubiaoge!$B7="TE0",[5]guodubiaoge!$AH7,
IF(guodubiaoge!$D7="TE0",[5]guodubiaoge!$AI7,
IF(guodubiaoge!$F7="TE0",[5]guodubiaoge!$AJ7,
IF(guodubiaoge!$H7="TE0",[5]guodubiaoge!$AK7,""))))</f>
        <v>-5.9379379379364003E-3</v>
      </c>
      <c r="BG7">
        <f>IF(guodubiaoge!$B7="TE0+HF+6",[5]guodubiaoge!$AH7,
IF(guodubiaoge!$D7="TE0+HF+6",[5]guodubiaoge!$AI7,
IF(guodubiaoge!$F7="TE0+HF+6",[5]guodubiaoge!$AJ7,
IF(guodubiaoge!$H7="TE0+HF+6",[5]guodubiaoge!$AK7,""))))</f>
        <v>6.8827172827173197E-2</v>
      </c>
      <c r="BH7" t="str">
        <f>IF(guodubiaoge!$B7="TE0+Sim+10",[5]guodubiaoge!$AH7,
IF(guodubiaoge!$D7="TE0+Sim+10",[5]guodubiaoge!$AI7,
IF(guodubiaoge!$F7="TE0+Sim+10",[5]guodubiaoge!$AJ7,
IF(guodubiaoge!$H7="TE0+Sim+10",[5]guodubiaoge!$AK7,""))))</f>
        <v/>
      </c>
      <c r="BI7">
        <f>IF(guodubiaoge!$B7="TE0+SL+10",[5]guodubiaoge!$AH7,
IF(guodubiaoge!$D7="TE0+SL+10",[5]guodubiaoge!$AI7,
IF(guodubiaoge!$F7="TE0+SL+10",[5]guodubiaoge!$AJ7,
IF(guodubiaoge!$H7="TE0+SL+10",[5]guodubiaoge!$AK7,""))))</f>
        <v>-4.4382433356117197E-2</v>
      </c>
      <c r="BJ7">
        <f>IF(guodubiaoge!$B7="TE0",[5]guodubiaoge!$AL7,
IF(guodubiaoge!$D7="TE0",[5]guodubiaoge!$AM7,
IF(guodubiaoge!$F7="TE0",[5]guodubiaoge!$AN7,
IF(guodubiaoge!$H7="TE0",[5]guodubiaoge!$AO7,""))))</f>
        <v>12.640354827634701</v>
      </c>
      <c r="BK7">
        <f>IF(guodubiaoge!$B7="TE0+HF+6",[5]guodubiaoge!$AL7,
IF(guodubiaoge!$D7="TE0+HF+6",[5]guodubiaoge!$AM7,
IF(guodubiaoge!$F7="TE0+HF+6",[5]guodubiaoge!$AN7,
IF(guodubiaoge!$H7="TE0+HF+6",[5]guodubiaoge!$AO7,""))))</f>
        <v>-3.89268332186546</v>
      </c>
      <c r="BL7" t="str">
        <f>IF(guodubiaoge!$B7="TE0+Sim+10",[5]guodubiaoge!$AL7,
IF(guodubiaoge!$D7="TE0+Sim+10",[5]guodubiaoge!$AM7,
IF(guodubiaoge!$F7="TE0+Sim+10",[5]guodubiaoge!$AN7,
IF(guodubiaoge!$H7="TE0+Sim+10",[5]guodubiaoge!$AO7,""))))</f>
        <v/>
      </c>
      <c r="BM7">
        <f>IF(guodubiaoge!$B7="TE0+SL+10",[5]guodubiaoge!$AL7,
IF(guodubiaoge!$D7="TE0+SL+10",[5]guodubiaoge!$AM7,
IF(guodubiaoge!$F7="TE0+SL+10",[5]guodubiaoge!$AN7,
IF(guodubiaoge!$H7="TE0+SL+10",[5]guodubiaoge!$AO7,""))))</f>
        <v>7.5378246541207696</v>
      </c>
      <c r="BN7">
        <f>IF(guodubiaoge!$B7="TE0",[5]guodubiaoge!$AP7,
IF(guodubiaoge!$D7="TE0",[5]guodubiaoge!$AQ7,
IF(guodubiaoge!$F7="TE0",[5]guodubiaoge!$AR7,
IF(guodubiaoge!$H7="TE0",[5]guodubiaoge!$AS7,""))))</f>
        <v>-326.68983292343898</v>
      </c>
      <c r="BO7">
        <f>IF(guodubiaoge!$B7="TE0+HF+6",[5]guodubiaoge!$AP7,
IF(guodubiaoge!$D7="TE0+HF+6",[5]guodubiaoge!$AQ7,
IF(guodubiaoge!$F7="TE0+HF+6",[5]guodubiaoge!$AR7,
IF(guodubiaoge!$H7="TE0+HF+6",[5]guodubiaoge!$AS7,""))))</f>
        <v>-27.357223099015499</v>
      </c>
      <c r="BP7" t="str">
        <f>IF(guodubiaoge!$B7="TE0+Sim+10",[5]guodubiaoge!$AP7,
IF(guodubiaoge!$D7="TE0+Sim+10",[5]guodubiaoge!$AQ7,
IF(guodubiaoge!$F7="TE0+Sim+10",[5]guodubiaoge!$AR7,
IF(guodubiaoge!$H7="TE0+Sim+10",[5]guodubiaoge!$AS7,""))))</f>
        <v/>
      </c>
      <c r="BQ7">
        <f>IF(guodubiaoge!$B7="TE0+SL+10",[5]guodubiaoge!$AP7,
IF(guodubiaoge!$D7="TE0+SL+10",[5]guodubiaoge!$AQ7,
IF(guodubiaoge!$F7="TE0+SL+10",[5]guodubiaoge!$AR7,
IF(guodubiaoge!$H7="TE0+SL+10",[5]guodubiaoge!$AS7,""))))</f>
        <v>-30.362160774995999</v>
      </c>
      <c r="BR7">
        <f t="shared" si="22"/>
        <v>-0.41626655724173628</v>
      </c>
      <c r="BS7" s="26">
        <f t="shared" si="23"/>
        <v>0.10999895335115129</v>
      </c>
      <c r="BT7" s="26" t="str">
        <f t="shared" si="24"/>
        <v/>
      </c>
      <c r="BU7" s="26">
        <f t="shared" si="25"/>
        <v>0.27618388358665996</v>
      </c>
      <c r="BV7" s="26">
        <f t="shared" si="26"/>
        <v>0.15317145290679343</v>
      </c>
      <c r="BW7">
        <f t="shared" si="27"/>
        <v>1.2689397788665422</v>
      </c>
      <c r="BX7" t="str">
        <f t="shared" si="28"/>
        <v/>
      </c>
      <c r="BY7">
        <f t="shared" si="29"/>
        <v>-1.1563533810264106</v>
      </c>
      <c r="BZ7">
        <f t="shared" si="30"/>
        <v>0.29828230112040743</v>
      </c>
      <c r="CA7">
        <f t="shared" si="31"/>
        <v>-0.10207481768181614</v>
      </c>
      <c r="CB7" t="str">
        <f t="shared" si="32"/>
        <v/>
      </c>
      <c r="CC7">
        <f t="shared" si="33"/>
        <v>0.20213780966794209</v>
      </c>
      <c r="CD7">
        <f t="shared" si="34"/>
        <v>-2.0280064906228157</v>
      </c>
      <c r="CE7">
        <f t="shared" si="35"/>
        <v>-0.27950167044821633</v>
      </c>
      <c r="CF7" t="str">
        <f t="shared" si="36"/>
        <v/>
      </c>
      <c r="CG7">
        <f t="shared" si="37"/>
        <v>-0.14529547939515361</v>
      </c>
      <c r="CH7">
        <f t="shared" si="38"/>
        <v>-0.26309510433494288</v>
      </c>
      <c r="CI7">
        <f t="shared" si="39"/>
        <v>1.3789387322176934</v>
      </c>
      <c r="CJ7" t="str">
        <f t="shared" si="40"/>
        <v/>
      </c>
      <c r="CK7">
        <f t="shared" si="41"/>
        <v>-0.8801694974397507</v>
      </c>
      <c r="CL7">
        <f t="shared" si="42"/>
        <v>0.46915190225377401</v>
      </c>
      <c r="CM7">
        <f t="shared" si="43"/>
        <v>-0.1808815532264651</v>
      </c>
      <c r="CN7" t="str">
        <f t="shared" si="44"/>
        <v/>
      </c>
      <c r="CO7">
        <f t="shared" si="45"/>
        <v>0.50168148585855832</v>
      </c>
      <c r="CP7">
        <f>IF(AA7="","",(AA7-AVERAGE($AA$2:AA$26))/_xlfn.STDEV.S($AA$2:$AA$26))</f>
        <v>0.17086960113336655</v>
      </c>
      <c r="CQ7">
        <f>IF(L7="","",(L7-AVERAGE($L$2:L$26))/_xlfn.STDEV.S($L$2:$L$26))</f>
        <v>-1.9452638637143054</v>
      </c>
      <c r="CR7">
        <f t="shared" si="46"/>
        <v>-3.9732703543371208</v>
      </c>
      <c r="CS7">
        <f>IF(B7="","",(B7-AVERAGE($B$2:B$26))/_xlfn.STDEV.S($B$2:$B$26))</f>
        <v>-0.36484929596070514</v>
      </c>
      <c r="CT7">
        <f>IF(G7="","",(G7-AVERAGE($G$2:G$26))/_xlfn.STDEV.S($G$2:$G$26))</f>
        <v>0.52496355824687901</v>
      </c>
      <c r="CU7">
        <f t="shared" si="47"/>
        <v>0.16011426228617387</v>
      </c>
    </row>
    <row r="8" spans="1:99">
      <c r="A8">
        <v>7</v>
      </c>
      <c r="B8" s="21">
        <f>IF(guodubiaoge!$B8="Te0",[5]guodubiaoge!$C8,
IF(guodubiaoge!$D8="Te0",[5]guodubiaoge!$E8,
IF(guodubiaoge!$F8="Te0",[5]guodubiaoge!$G8,
IF(guodubiaoge!$H8="Te0",[5]guodubiaoge!$I8,""))))</f>
        <v>1.04330579147386E-3</v>
      </c>
      <c r="C8">
        <f>IF(guodubiaoge!$B8="Te0+HF+6",[5]guodubiaoge!$C8,
IF(guodubiaoge!$D8="Te0+HF+6",[5]guodubiaoge!$E8,
IF(guodubiaoge!$F8="Te0+HF+6",[5]guodubiaoge!$G8,
IF(guodubiaoge!$H8="Te0+HF+6",[5]guodubiaoge!$I8,""))))</f>
        <v>3.1446011392186101E-3</v>
      </c>
      <c r="D8" t="str">
        <f>IF(guodubiaoge!$B8="Te0+Sim+10",[5]guodubiaoge!$C8,
IF(guodubiaoge!$D8="Te0+Sim+10",[5]guodubiaoge!$E8,
IF(guodubiaoge!$F8="Te0+Sim+10",[5]guodubiaoge!$G8,
IF(guodubiaoge!$H8="Te0+Sim+10",[5]guodubiaoge!$I8,""))))</f>
        <v/>
      </c>
      <c r="E8">
        <f>IF(guodubiaoge!$B8="Te0+SL+10",[5]guodubiaoge!$C8,
IF(guodubiaoge!$D8="Te0+SL+10",[5]guodubiaoge!$E8,
IF(guodubiaoge!$F8="Te0+SL+10",[5]guodubiaoge!$G8,
IF(guodubiaoge!$H8="Te0+SL+10",[5]guodubiaoge!$I8,""))))</f>
        <v>-5.1271686575454995E-4</v>
      </c>
      <c r="F8">
        <f>IF(guodubiaoge!$B8="Te0-10",[5]guodubiaoge!$C8,
IF(guodubiaoge!$D8="Te0-10",[5]guodubiaoge!$E8,
IF(guodubiaoge!$F8="Te0-10",[5]guodubiaoge!$G8,
IF(guodubiaoge!$H8="Te0-10",[5]guodubiaoge!$I8,""))))</f>
        <v>3.9932645771502398E-3</v>
      </c>
      <c r="G8">
        <f>IF(guodubiaoge!$B8="Te0",[5]guodubiaoge!$J8,
IF(guodubiaoge!$D8="Te0",[5]guodubiaoge!$K8,
IF(guodubiaoge!$F8="Te0",[5]guodubiaoge!$L8,
IF(guodubiaoge!$H8="Te0",[5]guodubiaoge!$M8,""))))</f>
        <v>-2.3032564450467001E-3</v>
      </c>
      <c r="H8">
        <f>IF(guodubiaoge!$B8="Te0+HF+6",[5]guodubiaoge!$J8,
IF(guodubiaoge!$D8="Te0+HF+6",[5]guodubiaoge!$K8,
IF(guodubiaoge!$F8="Te0+HF+6",[5]guodubiaoge!$L8,
IF(guodubiaoge!$H8="Te0+HF+6",[5]guodubiaoge!$M8,""))))</f>
        <v>-3.7496007789678799E-2</v>
      </c>
      <c r="I8" t="str">
        <f>IF(guodubiaoge!$B8="Te0+Sim+10",[5]guodubiaoge!$J8,
IF(guodubiaoge!$D8="Te0+Sim+10",[5]guodubiaoge!$K8,
IF(guodubiaoge!$F8="Te0+Sim+10",[5]guodubiaoge!$L8,
IF(guodubiaoge!$H8="Te0+Sim+10",[5]guodubiaoge!$M8,""))))</f>
        <v/>
      </c>
      <c r="J8">
        <f>IF(guodubiaoge!$B8="Te0+SL+10",[5]guodubiaoge!$J8,
IF(guodubiaoge!$D8="Te0+SL+10",[5]guodubiaoge!$K8,
IF(guodubiaoge!$F8="Te0+SL+10",[5]guodubiaoge!$L8,
IF(guodubiaoge!$H8="Te0+SL+10",[5]guodubiaoge!$M8,""))))</f>
        <v>-4.7390722291407998E-2</v>
      </c>
      <c r="K8">
        <f>IF(guodubiaoge!$B8="Te0-10",[5]guodubiaoge!$J8,
IF(guodubiaoge!$D8="Te0-10",[5]guodubiaoge!$K8,
IF(guodubiaoge!$F8="Te0-10",[5]guodubiaoge!$L8,
IF(guodubiaoge!$H8="Te0-10",[5]guodubiaoge!$M8,""))))</f>
        <v>5.5635327635327497E-2</v>
      </c>
      <c r="L8">
        <f>IF(guodubiaoge!$B8="Te0",[5]guodubiaoge!$N8,
IF(guodubiaoge!$D8="Te0",[5]guodubiaoge!$O8,
IF(guodubiaoge!$F8="Te0",[5]guodubiaoge!$P8,
IF(guodubiaoge!$H8="Te0",[5]guodubiaoge!$Q8,""))))</f>
        <v>562.53431797297605</v>
      </c>
      <c r="M8">
        <f>IF(guodubiaoge!$B8="Te0+HF+6",[5]guodubiaoge!$N8,
IF(guodubiaoge!$D8="Te0+HF+6",[5]guodubiaoge!$O8,
IF(guodubiaoge!$F8="Te0+HF+6",[5]guodubiaoge!$P8,
IF(guodubiaoge!$H8="Te0+HF+6",[5]guodubiaoge!$Q8,""))))</f>
        <v>-8.2160893285744496</v>
      </c>
      <c r="N8" t="str">
        <f>IF(guodubiaoge!$B8="Te0+Sim+10",[5]guodubiaoge!$N8,
IF(guodubiaoge!$D8="Te0+Sim+10",[5]guodubiaoge!$O8,
IF(guodubiaoge!$F8="Te0+Sim+10",[5]guodubiaoge!$P8,
IF(guodubiaoge!$H8="Te0+Sim+10",[5]guodubiaoge!$Q8,""))))</f>
        <v/>
      </c>
      <c r="O8">
        <f>IF(guodubiaoge!$B8="Te0+SL+10",[5]guodubiaoge!$N8,
IF(guodubiaoge!$D8="Te0+SL+10",[5]guodubiaoge!$O8,
IF(guodubiaoge!$F8="Te0+SL+10",[5]guodubiaoge!$P8,
IF(guodubiaoge!$H8="Te0+SL+10",[5]guodubiaoge!$Q8,""))))</f>
        <v>522.98641708253695</v>
      </c>
      <c r="P8">
        <f>IF(guodubiaoge!$B8="Te0-10",[5]guodubiaoge!$N8,
IF(guodubiaoge!$D8="Te0-10",[5]guodubiaoge!$O8,
IF(guodubiaoge!$F8="Te0-10",[5]guodubiaoge!$P8,
IF(guodubiaoge!$H8="Te0-10",[5]guodubiaoge!$Q8,""))))</f>
        <v>-46.070554587502102</v>
      </c>
      <c r="Q8">
        <f>IF(guodubiaoge!$B8="Te0",[5]guodubiaoge!$R8,
IF(guodubiaoge!$D8="Te0",[5]guodubiaoge!$S8,
IF(guodubiaoge!$F8="Te0",[5]guodubiaoge!$T8,
IF(guodubiaoge!$H8="Te0",[5]guodubiaoge!$U8,""))))</f>
        <v>6</v>
      </c>
      <c r="R8">
        <f>IF(guodubiaoge!$B8="Te0+HF+6",[5]guodubiaoge!$R8,
IF(guodubiaoge!$D8="Te0+HF+6",[5]guodubiaoge!$S8,
IF(guodubiaoge!$F8="Te0+HF+6",[5]guodubiaoge!$T8,
IF(guodubiaoge!$H8="Te0+HF+6",[5]guodubiaoge!$U8,""))))</f>
        <v>6</v>
      </c>
      <c r="S8" t="str">
        <f>IF(guodubiaoge!$B8="Te0+Sim+10",[5]guodubiaoge!$R8,
IF(guodubiaoge!$D8="Te0+Sim+10",[5]guodubiaoge!$S8,
IF(guodubiaoge!$F8="Te0+Sim+10",[5]guodubiaoge!$T8,
IF(guodubiaoge!$H8="Te0+Sim+10",[5]guodubiaoge!$U8,""))))</f>
        <v/>
      </c>
      <c r="T8">
        <f>IF(guodubiaoge!$B8="Te0+SL+10",[5]guodubiaoge!$R8,
IF(guodubiaoge!$D8="Te0+SL+10",[5]guodubiaoge!$S8,
IF(guodubiaoge!$F8="Te0+SL+10",[5]guodubiaoge!$T8,
IF(guodubiaoge!$H8="Te0+SL+10",[5]guodubiaoge!$U8,""))))</f>
        <v>5</v>
      </c>
      <c r="U8">
        <f>IF(guodubiaoge!$B8="Te0-10",[5]guodubiaoge!$R8,
IF(guodubiaoge!$D8="Te0-10",[5]guodubiaoge!$S8,
IF(guodubiaoge!$F8="Te0-10",[5]guodubiaoge!$T8,
IF(guodubiaoge!$H8="Te0-10",[5]guodubiaoge!$U8,""))))</f>
        <v>4</v>
      </c>
      <c r="V8">
        <f>IF(guodubiaoge!$B8="Te0",[5]guodubiaoge!$V8,
IF(guodubiaoge!$D8="Te0",[5]guodubiaoge!$W8,
IF(guodubiaoge!$F8="Te0",[5]guodubiaoge!$X8,
IF(guodubiaoge!$H8="Te0",[5]guodubiaoge!$Y8,""))))</f>
        <v>6</v>
      </c>
      <c r="W8">
        <f>IF(guodubiaoge!$B8="Te0+HF+6",[5]guodubiaoge!$V8,
IF(guodubiaoge!$D8="Te0+HF+6",[5]guodubiaoge!$W8,
IF(guodubiaoge!$F8="Te0+HF+6",[5]guodubiaoge!$X8,
IF(guodubiaoge!$H8="Te0+HF+6",[5]guodubiaoge!$Y8,""))))</f>
        <v>6</v>
      </c>
      <c r="X8" t="str">
        <f>IF(guodubiaoge!$B8="Te0+Sim+10",[5]guodubiaoge!$V8,
IF(guodubiaoge!$D8="Te0+Sim+10",[5]guodubiaoge!$W8,
IF(guodubiaoge!$F8="Te0+Sim+10",[5]guodubiaoge!$X8,
IF(guodubiaoge!$H8="Te0+Sim+10",[5]guodubiaoge!$Y8,""))))</f>
        <v/>
      </c>
      <c r="Y8">
        <f>IF(guodubiaoge!$B8="Te0+SL+10",[5]guodubiaoge!$U8,
IF(guodubiaoge!$D8="Te0+SL+10",[5]guodubiaoge!$W8,
IF(guodubiaoge!$F8="Te0+SL+10",[5]guodubiaoge!$X8,
IF(guodubiaoge!$H8="Te0+SL+10",[5]guodubiaoge!$Y8,""))))</f>
        <v>6</v>
      </c>
      <c r="Z8">
        <f>IF(guodubiaoge!$B8="Te0-10",[5]guodubiaoge!$U8,
IF(guodubiaoge!$D8="Te0-10",[5]guodubiaoge!$W8,
IF(guodubiaoge!$F8="Te0-10",[5]guodubiaoge!$X8,
IF(guodubiaoge!$H8="Te0-10",[5]guodubiaoge!$Y8,""))))</f>
        <v>7</v>
      </c>
      <c r="AA8">
        <f>IF(guodubiaoge!$B8="Te0",[5]guodubiaoge!$Z8,
IF(guodubiaoge!$D8="Te0",[5]guodubiaoge!$AA8,
IF(guodubiaoge!$F8="Te0",[5]guodubiaoge!$AB8,
IF(guodubiaoge!$H8="Te0",[5]guodubiaoge!$AC8,""))))</f>
        <v>332.938561645991</v>
      </c>
      <c r="AB8">
        <f>IF(guodubiaoge!$B8="Te0+HF+6",[5]guodubiaoge!$Z8,
IF(guodubiaoge!$D8="Te0+HF+6",[5]guodubiaoge!$AA8,
IF(guodubiaoge!$F8="Te0+HF+6",[5]guodubiaoge!$AB8,
IF(guodubiaoge!$H8="Te0+HF+6",[5]guodubiaoge!$AC8,""))))</f>
        <v>-11.939780473588799</v>
      </c>
      <c r="AC8" t="str">
        <f>IF(guodubiaoge!$B8="Te0+Sim+10",[5]guodubiaoge!$Z8,
IF(guodubiaoge!$D8="Te0+Sim+10",[5]guodubiaoge!$AA8,
IF(guodubiaoge!$F8="Te0+Sim+10",[5]guodubiaoge!$AB8,
IF(guodubiaoge!$H8="Te0+Sim+10",[5]guodubiaoge!$AC8,""))))</f>
        <v/>
      </c>
      <c r="AD8">
        <f>IF(guodubiaoge!$B8="Te0+SL+10",[5]guodubiaoge!$Z8,
IF(guodubiaoge!$D8="Te0+SL+10",[5]guodubiaoge!$AA8,
IF(guodubiaoge!$F8="Te0+SL+10",[5]guodubiaoge!$AB8,
IF(guodubiaoge!$H8="Te0+SL+10",[5]guodubiaoge!$AC8,""))))</f>
        <v>-35.163733540240401</v>
      </c>
      <c r="AE8">
        <f>IF(guodubiaoge!$B8="Te0-10",[5]guodubiaoge!$Z8,
IF(guodubiaoge!$D8="Te0-10",[5]guodubiaoge!$AA8,
IF(guodubiaoge!$F8="Te0-10",[5]guodubiaoge!$AB8,
IF(guodubiaoge!$H8="Te0-10",[5]guodubiaoge!$AC8,""))))</f>
        <v>-10.400548857239899</v>
      </c>
      <c r="AF8">
        <f t="shared" si="0"/>
        <v>0.69816089534874837</v>
      </c>
      <c r="AG8" t="str">
        <f t="shared" si="1"/>
        <v/>
      </c>
      <c r="AH8">
        <f t="shared" si="2"/>
        <v>-1.1645338432379637E-2</v>
      </c>
      <c r="AI8">
        <f t="shared" si="3"/>
        <v>-0.53953705578586353</v>
      </c>
      <c r="AJ8" t="str">
        <f t="shared" si="4"/>
        <v/>
      </c>
      <c r="AK8">
        <f t="shared" si="5"/>
        <v>4.2604368757963404E-2</v>
      </c>
      <c r="AL8">
        <f t="shared" si="6"/>
        <v>0.15862383956288484</v>
      </c>
      <c r="AM8" t="str">
        <f t="shared" si="7"/>
        <v/>
      </c>
      <c r="AN8">
        <f t="shared" si="8"/>
        <v>3.0959030325583767E-2</v>
      </c>
      <c r="AO8">
        <f t="shared" si="9"/>
        <v>-9.561564460961007E-2</v>
      </c>
      <c r="AP8" t="str">
        <f t="shared" si="10"/>
        <v/>
      </c>
      <c r="AQ8">
        <f t="shared" si="11"/>
        <v>1.8950514251187398</v>
      </c>
      <c r="AR8">
        <f t="shared" si="12"/>
        <v>-0.11352799982278107</v>
      </c>
      <c r="AS8" t="str">
        <f t="shared" si="13"/>
        <v/>
      </c>
      <c r="AT8">
        <f t="shared" si="14"/>
        <v>-7.2299548545025349E-2</v>
      </c>
      <c r="AU8">
        <f t="shared" si="15"/>
        <v>-0.42781556860989095</v>
      </c>
      <c r="AV8" t="str">
        <f t="shared" si="16"/>
        <v/>
      </c>
      <c r="AW8">
        <f t="shared" si="17"/>
        <v>3.6675570372362767</v>
      </c>
      <c r="AX8" s="21">
        <f t="shared" si="18"/>
        <v>-0.45296987824241441</v>
      </c>
      <c r="AY8">
        <f t="shared" si="19"/>
        <v>-8.3864958553912961E-2</v>
      </c>
      <c r="AZ8" t="str">
        <f t="shared" si="20"/>
        <v/>
      </c>
      <c r="BA8">
        <f t="shared" si="21"/>
        <v>1.0818929127136478E-2</v>
      </c>
      <c r="BB8">
        <f>IF(guodubiaoge!$B8="TE0",[5]guodubiaoge!$AD8,
IF(guodubiaoge!$D8="TE0",[5]guodubiaoge!$AE8,
IF(guodubiaoge!$F8="TE0",[5]guodubiaoge!$AF8,
IF(guodubiaoge!$H8="TE0",[5]guodubiaoge!$AG8,""))))</f>
        <v>-2.1948535774751101E-4</v>
      </c>
      <c r="BC8">
        <f>IF(guodubiaoge!$B8="TE0+HF+6",[5]guodubiaoge!$AD8,
IF(guodubiaoge!$D8="TE0+HF+6",[5]guodubiaoge!$AE8,
IF(guodubiaoge!$F8="TE0+HF+6",[5]guodubiaoge!$AF8,
IF(guodubiaoge!$H8="TE0+HF+6",[5]guodubiaoge!$AG8,""))))</f>
        <v>3.7675302377078099E-3</v>
      </c>
      <c r="BD8" t="str">
        <f>IF(guodubiaoge!$B8="TE0+Sim+10",[5]guodubiaoge!$AD8,
IF(guodubiaoge!$D8="TE0+Sim+10",[5]guodubiaoge!$AE8,
IF(guodubiaoge!$F8="TE0+Sim+10",[5]guodubiaoge!$AF8,
IF(guodubiaoge!$H8="TE0+Sim+10",[5]guodubiaoge!$AG8,""))))</f>
        <v/>
      </c>
      <c r="BE8">
        <f>IF(guodubiaoge!$B8="TE0+SL+10",[5]guodubiaoge!$AD8,
IF(guodubiaoge!$D8="TE0+SL+10",[5]guodubiaoge!$AE8,
IF(guodubiaoge!$F8="TE0+SL+10",[5]guodubiaoge!$AF8,
IF(guodubiaoge!$H8="TE0+SL+10",[5]guodubiaoge!$AG8,""))))</f>
        <v>8.6405548901601905E-4</v>
      </c>
      <c r="BF8">
        <f>IF(guodubiaoge!$B8="TE0",[5]guodubiaoge!$AH8,
IF(guodubiaoge!$D8="TE0",[5]guodubiaoge!$AI8,
IF(guodubiaoge!$F8="TE0",[5]guodubiaoge!$AJ8,
IF(guodubiaoge!$H8="TE0",[5]guodubiaoge!$AK8,""))))</f>
        <v>1.45784021071108E-2</v>
      </c>
      <c r="BG8">
        <f>IF(guodubiaoge!$B8="TE0+HF+6",[5]guodubiaoge!$AH8,
IF(guodubiaoge!$D8="TE0+HF+6",[5]guodubiaoge!$AI8,
IF(guodubiaoge!$F8="TE0+HF+6",[5]guodubiaoge!$AJ8,
IF(guodubiaoge!$H8="TE0+HF+6",[5]guodubiaoge!$AK8,""))))</f>
        <v>6.3704063461226507E-2</v>
      </c>
      <c r="BH8" t="str">
        <f>IF(guodubiaoge!$B8="TE0+Sim+10",[5]guodubiaoge!$AH8,
IF(guodubiaoge!$D8="TE0+Sim+10",[5]guodubiaoge!$AI8,
IF(guodubiaoge!$F8="TE0+Sim+10",[5]guodubiaoge!$AJ8,
IF(guodubiaoge!$H8="TE0+Sim+10",[5]guodubiaoge!$AK8,""))))</f>
        <v/>
      </c>
      <c r="BI8">
        <f>IF(guodubiaoge!$B8="TE0+SL+10",[5]guodubiaoge!$AH8,
IF(guodubiaoge!$D8="TE0+SL+10",[5]guodubiaoge!$AI8,
IF(guodubiaoge!$F8="TE0+SL+10",[5]guodubiaoge!$AJ8,
IF(guodubiaoge!$H8="TE0+SL+10",[5]guodubiaoge!$AK8,""))))</f>
        <v>4.1705034213097798E-2</v>
      </c>
      <c r="BJ8">
        <f>IF(guodubiaoge!$B8="TE0",[5]guodubiaoge!$AL8,
IF(guodubiaoge!$D8="TE0",[5]guodubiaoge!$AM8,
IF(guodubiaoge!$F8="TE0",[5]guodubiaoge!$AN8,
IF(guodubiaoge!$H8="TE0",[5]guodubiaoge!$AO8,""))))</f>
        <v>406.27593645538502</v>
      </c>
      <c r="BK8">
        <f>IF(guodubiaoge!$B8="TE0+HF+6",[5]guodubiaoge!$AL8,
IF(guodubiaoge!$D8="TE0+HF+6",[5]guodubiaoge!$AM8,
IF(guodubiaoge!$F8="TE0+HF+6",[5]guodubiaoge!$AN8,
IF(guodubiaoge!$H8="TE0+HF+6",[5]guodubiaoge!$AO8,""))))</f>
        <v>-6.9183541031936597</v>
      </c>
      <c r="BL8" t="str">
        <f>IF(guodubiaoge!$B8="TE0+Sim+10",[5]guodubiaoge!$AL8,
IF(guodubiaoge!$D8="TE0+Sim+10",[5]guodubiaoge!$AM8,
IF(guodubiaoge!$F8="TE0+Sim+10",[5]guodubiaoge!$AN8,
IF(guodubiaoge!$H8="TE0+Sim+10",[5]guodubiaoge!$AO8,""))))</f>
        <v/>
      </c>
      <c r="BM8">
        <f>IF(guodubiaoge!$B8="TE0+SL+10",[5]guodubiaoge!$AL8,
IF(guodubiaoge!$D8="TE0+SL+10",[5]guodubiaoge!$AM8,
IF(guodubiaoge!$F8="TE0+SL+10",[5]guodubiaoge!$AN8,
IF(guodubiaoge!$H8="TE0+SL+10",[5]guodubiaoge!$AO8,""))))</f>
        <v>-69.406488272758807</v>
      </c>
      <c r="BN8">
        <f>IF(guodubiaoge!$B8="TE0",[5]guodubiaoge!$AP8,
IF(guodubiaoge!$D8="TE0",[5]guodubiaoge!$AQ8,
IF(guodubiaoge!$F8="TE0",[5]guodubiaoge!$AR8,
IF(guodubiaoge!$H8="TE0",[5]guodubiaoge!$AS8,""))))</f>
        <v>535.75980653312297</v>
      </c>
      <c r="BO8">
        <f>IF(guodubiaoge!$B8="TE0+HF+6",[5]guodubiaoge!$AP8,
IF(guodubiaoge!$D8="TE0+HF+6",[5]guodubiaoge!$AQ8,
IF(guodubiaoge!$F8="TE0+HF+6",[5]guodubiaoge!$AR8,
IF(guodubiaoge!$H8="TE0+HF+6",[5]guodubiaoge!$AS8,""))))</f>
        <v>-37.136293701505501</v>
      </c>
      <c r="BP8" t="str">
        <f>IF(guodubiaoge!$B8="TE0+Sim+10",[5]guodubiaoge!$AP8,
IF(guodubiaoge!$D8="TE0+Sim+10",[5]guodubiaoge!$AQ8,
IF(guodubiaoge!$F8="TE0+Sim+10",[5]guodubiaoge!$AR8,
IF(guodubiaoge!$H8="TE0+Sim+10",[5]guodubiaoge!$AS8,""))))</f>
        <v/>
      </c>
      <c r="BQ8">
        <f>IF(guodubiaoge!$B8="TE0+SL+10",[5]guodubiaoge!$AP8,
IF(guodubiaoge!$D8="TE0+SL+10",[5]guodubiaoge!$AQ8,
IF(guodubiaoge!$F8="TE0+SL+10",[5]guodubiaoge!$AR8,
IF(guodubiaoge!$H8="TE0+SL+10",[5]guodubiaoge!$AS8,""))))</f>
        <v>359.78938633000701</v>
      </c>
      <c r="BR8">
        <f t="shared" si="22"/>
        <v>0.26216742991085579</v>
      </c>
      <c r="BS8" s="26">
        <f t="shared" si="23"/>
        <v>0.56613688058619316</v>
      </c>
      <c r="BT8" s="26" t="str">
        <f t="shared" si="24"/>
        <v/>
      </c>
      <c r="BU8" s="26">
        <f t="shared" si="25"/>
        <v>-0.29148763761346158</v>
      </c>
      <c r="BV8" s="26">
        <f t="shared" si="26"/>
        <v>0.33587071512931044</v>
      </c>
      <c r="BW8">
        <f t="shared" si="27"/>
        <v>1.1767324192374262</v>
      </c>
      <c r="BX8" t="str">
        <f t="shared" si="28"/>
        <v/>
      </c>
      <c r="BY8">
        <f t="shared" si="29"/>
        <v>0.69932551060212045</v>
      </c>
      <c r="BZ8">
        <f t="shared" si="30"/>
        <v>2.2492501181457238</v>
      </c>
      <c r="CA8">
        <f t="shared" si="31"/>
        <v>-0.11421682485596375</v>
      </c>
      <c r="CB8" t="str">
        <f t="shared" si="32"/>
        <v/>
      </c>
      <c r="CC8">
        <f t="shared" si="33"/>
        <v>-0.28780728955117302</v>
      </c>
      <c r="CD8">
        <f t="shared" si="34"/>
        <v>3.4842032110598034</v>
      </c>
      <c r="CE8">
        <f t="shared" si="35"/>
        <v>-0.33219992400028087</v>
      </c>
      <c r="CF8" t="str">
        <f t="shared" si="36"/>
        <v/>
      </c>
      <c r="CG8">
        <f t="shared" si="37"/>
        <v>1.7725056121175367</v>
      </c>
      <c r="CH8">
        <f t="shared" si="38"/>
        <v>0.59803814504016617</v>
      </c>
      <c r="CI8">
        <f t="shared" si="39"/>
        <v>1.7428692998236195</v>
      </c>
      <c r="CJ8" t="str">
        <f t="shared" si="40"/>
        <v/>
      </c>
      <c r="CK8">
        <f t="shared" si="41"/>
        <v>0.40783787298865887</v>
      </c>
      <c r="CL8">
        <f t="shared" si="42"/>
        <v>4.3701657599892982</v>
      </c>
      <c r="CM8">
        <f t="shared" si="43"/>
        <v>-0.22774482467874482</v>
      </c>
      <c r="CN8" t="str">
        <f t="shared" si="44"/>
        <v/>
      </c>
      <c r="CO8">
        <f t="shared" si="45"/>
        <v>-0.36010683809619837</v>
      </c>
      <c r="CP8">
        <f>IF(AA8="","",(AA8-AVERAGE($AA$2:AA$26))/_xlfn.STDEV.S($AA$2:$AA$26))</f>
        <v>2.1209156418435744</v>
      </c>
      <c r="CQ8">
        <f>IF(L8="","",(L8-AVERAGE($L$2:L$26))/_xlfn.STDEV.S($L$2:$L$26))</f>
        <v>2.632791905557863</v>
      </c>
      <c r="CR8">
        <f t="shared" si="46"/>
        <v>6.1169951166176659</v>
      </c>
      <c r="CS8">
        <f>IF(B8="","",(B8-AVERAGE($B$2:B$26))/_xlfn.STDEV.S($B$2:$B$26))</f>
        <v>-2.9714745182590211E-2</v>
      </c>
      <c r="CT8">
        <f>IF(G8="","",(G8-AVERAGE($G$2:G$26))/_xlfn.STDEV.S($G$2:$G$26))</f>
        <v>-0.33402211821062477</v>
      </c>
      <c r="CU8">
        <f t="shared" si="47"/>
        <v>-0.36373686339321498</v>
      </c>
    </row>
    <row r="9" spans="1:99">
      <c r="A9">
        <v>8</v>
      </c>
      <c r="B9" s="21">
        <f>IF(guodubiaoge!$B9="Te0",[5]guodubiaoge!$C9,
IF(guodubiaoge!$D9="Te0",[5]guodubiaoge!$E9,
IF(guodubiaoge!$F9="Te0",[5]guodubiaoge!$G9,
IF(guodubiaoge!$H9="Te0",[5]guodubiaoge!$I9,""))))</f>
        <v>-5.7974915460858997E-3</v>
      </c>
      <c r="C9">
        <f>IF(guodubiaoge!$B9="Te0+HF+6",[5]guodubiaoge!$C9,
IF(guodubiaoge!$D9="Te0+HF+6",[5]guodubiaoge!$E9,
IF(guodubiaoge!$F9="Te0+HF+6",[5]guodubiaoge!$G9,
IF(guodubiaoge!$H9="Te0+HF+6",[5]guodubiaoge!$I9,""))))</f>
        <v>-2.2978262864712601E-3</v>
      </c>
      <c r="D9">
        <f>IF(guodubiaoge!$B9="Te0+Sim+10",[5]guodubiaoge!$C9,
IF(guodubiaoge!$D9="Te0+Sim+10",[5]guodubiaoge!$E9,
IF(guodubiaoge!$F9="Te0+Sim+10",[5]guodubiaoge!$G9,
IF(guodubiaoge!$H9="Te0+Sim+10",[5]guodubiaoge!$I9,""))))</f>
        <v>-2.3608286576072899E-3</v>
      </c>
      <c r="E9" t="str">
        <f>IF(guodubiaoge!$B9="Te0+SL+10",[5]guodubiaoge!$C9,
IF(guodubiaoge!$D9="Te0+SL+10",[5]guodubiaoge!$E9,
IF(guodubiaoge!$F9="Te0+SL+10",[5]guodubiaoge!$G9,
IF(guodubiaoge!$H9="Te0+SL+10",[5]guodubiaoge!$I9,""))))</f>
        <v/>
      </c>
      <c r="F9">
        <f>IF(guodubiaoge!$B9="Te0-10",[5]guodubiaoge!$C9,
IF(guodubiaoge!$D9="Te0-10",[5]guodubiaoge!$E9,
IF(guodubiaoge!$F9="Te0-10",[5]guodubiaoge!$G9,
IF(guodubiaoge!$H9="Te0-10",[5]guodubiaoge!$I9,""))))</f>
        <v>-5.4017619550487896E-4</v>
      </c>
      <c r="G9">
        <f>IF(guodubiaoge!$B9="Te0",[5]guodubiaoge!$J9,
IF(guodubiaoge!$D9="Te0",[5]guodubiaoge!$K9,
IF(guodubiaoge!$F9="Te0",[5]guodubiaoge!$L9,
IF(guodubiaoge!$H9="Te0",[5]guodubiaoge!$M9,""))))</f>
        <v>-3.7097332372026601E-2</v>
      </c>
      <c r="H9">
        <f>IF(guodubiaoge!$B9="Te0+HF+6",[5]guodubiaoge!$J9,
IF(guodubiaoge!$D9="Te0+HF+6",[5]guodubiaoge!$K9,
IF(guodubiaoge!$F9="Te0+HF+6",[5]guodubiaoge!$L9,
IF(guodubiaoge!$H9="Te0+HF+6",[5]guodubiaoge!$M9,""))))</f>
        <v>-3.3669191919192501E-2</v>
      </c>
      <c r="I9">
        <f>IF(guodubiaoge!$B9="Te0+Sim+10",[5]guodubiaoge!$J9,
IF(guodubiaoge!$D9="Te0+Sim+10",[5]guodubiaoge!$K9,
IF(guodubiaoge!$F9="Te0+Sim+10",[5]guodubiaoge!$L9,
IF(guodubiaoge!$H9="Te0+Sim+10",[5]guodubiaoge!$M9,""))))</f>
        <v>-3.3567528735633199E-2</v>
      </c>
      <c r="J9" t="str">
        <f>IF(guodubiaoge!$B9="Te0+SL+10",[5]guodubiaoge!$J9,
IF(guodubiaoge!$D9="Te0+SL+10",[5]guodubiaoge!$K9,
IF(guodubiaoge!$F9="Te0+SL+10",[5]guodubiaoge!$L9,
IF(guodubiaoge!$H9="Te0+SL+10",[5]guodubiaoge!$M9,""))))</f>
        <v/>
      </c>
      <c r="K9">
        <f>IF(guodubiaoge!$B9="Te0-10",[5]guodubiaoge!$J9,
IF(guodubiaoge!$D9="Te0-10",[5]guodubiaoge!$K9,
IF(guodubiaoge!$F9="Te0-10",[5]guodubiaoge!$L9,
IF(guodubiaoge!$H9="Te0-10",[5]guodubiaoge!$M9,""))))</f>
        <v>-3.5231941391940899E-2</v>
      </c>
      <c r="L9">
        <f>IF(guodubiaoge!$B9="Te0",[5]guodubiaoge!$N9,
IF(guodubiaoge!$D9="Te0",[5]guodubiaoge!$O9,
IF(guodubiaoge!$F9="Te0",[5]guodubiaoge!$P9,
IF(guodubiaoge!$H9="Te0",[5]guodubiaoge!$Q9,""))))</f>
        <v>-13.428336172884499</v>
      </c>
      <c r="M9">
        <f>IF(guodubiaoge!$B9="Te0+HF+6",[5]guodubiaoge!$N9,
IF(guodubiaoge!$D9="Te0+HF+6",[5]guodubiaoge!$O9,
IF(guodubiaoge!$F9="Te0+HF+6",[5]guodubiaoge!$P9,
IF(guodubiaoge!$H9="Te0+HF+6",[5]guodubiaoge!$Q9,""))))</f>
        <v>-8.1981917686418093</v>
      </c>
      <c r="N9">
        <f>IF(guodubiaoge!$B9="Te0+Sim+10",[5]guodubiaoge!$N9,
IF(guodubiaoge!$D9="Te0+Sim+10",[5]guodubiaoge!$O9,
IF(guodubiaoge!$F9="Te0+Sim+10",[5]guodubiaoge!$P9,
IF(guodubiaoge!$H9="Te0+Sim+10",[5]guodubiaoge!$Q9,""))))</f>
        <v>-4.5323902006037597</v>
      </c>
      <c r="O9" t="str">
        <f>IF(guodubiaoge!$B9="Te0+SL+10",[5]guodubiaoge!$N9,
IF(guodubiaoge!$D9="Te0+SL+10",[5]guodubiaoge!$O9,
IF(guodubiaoge!$F9="Te0+SL+10",[5]guodubiaoge!$P9,
IF(guodubiaoge!$H9="Te0+SL+10",[5]guodubiaoge!$Q9,""))))</f>
        <v/>
      </c>
      <c r="P9">
        <f>IF(guodubiaoge!$B9="Te0-10",[5]guodubiaoge!$N9,
IF(guodubiaoge!$D9="Te0-10",[5]guodubiaoge!$O9,
IF(guodubiaoge!$F9="Te0-10",[5]guodubiaoge!$P9,
IF(guodubiaoge!$H9="Te0-10",[5]guodubiaoge!$Q9,""))))</f>
        <v>-7.7944620708964898</v>
      </c>
      <c r="Q9">
        <f>IF(guodubiaoge!$B9="Te0",[5]guodubiaoge!$R9,
IF(guodubiaoge!$D9="Te0",[5]guodubiaoge!$S9,
IF(guodubiaoge!$F9="Te0",[5]guodubiaoge!$T9,
IF(guodubiaoge!$H9="Te0",[5]guodubiaoge!$U9,""))))</f>
        <v>5</v>
      </c>
      <c r="R9">
        <f>IF(guodubiaoge!$B9="Te0+HF+6",[5]guodubiaoge!$R9,
IF(guodubiaoge!$D9="Te0+HF+6",[5]guodubiaoge!$S9,
IF(guodubiaoge!$F9="Te0+HF+6",[5]guodubiaoge!$T9,
IF(guodubiaoge!$H9="Te0+HF+6",[5]guodubiaoge!$U9,""))))</f>
        <v>6</v>
      </c>
      <c r="S9">
        <f>IF(guodubiaoge!$B9="Te0+Sim+10",[5]guodubiaoge!$R9,
IF(guodubiaoge!$D9="Te0+Sim+10",[5]guodubiaoge!$S9,
IF(guodubiaoge!$F9="Te0+Sim+10",[5]guodubiaoge!$T9,
IF(guodubiaoge!$H9="Te0+Sim+10",[5]guodubiaoge!$U9,""))))</f>
        <v>6</v>
      </c>
      <c r="T9" t="str">
        <f>IF(guodubiaoge!$B9="Te0+SL+10",[5]guodubiaoge!$R9,
IF(guodubiaoge!$D9="Te0+SL+10",[5]guodubiaoge!$S9,
IF(guodubiaoge!$F9="Te0+SL+10",[5]guodubiaoge!$T9,
IF(guodubiaoge!$H9="Te0+SL+10",[5]guodubiaoge!$U9,""))))</f>
        <v/>
      </c>
      <c r="U9">
        <f>IF(guodubiaoge!$B9="Te0-10",[5]guodubiaoge!$R9,
IF(guodubiaoge!$D9="Te0-10",[5]guodubiaoge!$S9,
IF(guodubiaoge!$F9="Te0-10",[5]guodubiaoge!$T9,
IF(guodubiaoge!$H9="Te0-10",[5]guodubiaoge!$U9,""))))</f>
        <v>6</v>
      </c>
      <c r="V9">
        <f>IF(guodubiaoge!$B9="Te0",[5]guodubiaoge!$V9,
IF(guodubiaoge!$D9="Te0",[5]guodubiaoge!$W9,
IF(guodubiaoge!$F9="Te0",[5]guodubiaoge!$X9,
IF(guodubiaoge!$H9="Te0",[5]guodubiaoge!$Y9,""))))</f>
        <v>6</v>
      </c>
      <c r="W9">
        <f>IF(guodubiaoge!$B9="Te0+HF+6",[5]guodubiaoge!$V9,
IF(guodubiaoge!$D9="Te0+HF+6",[5]guodubiaoge!$W9,
IF(guodubiaoge!$F9="Te0+HF+6",[5]guodubiaoge!$X9,
IF(guodubiaoge!$H9="Te0+HF+6",[5]guodubiaoge!$Y9,""))))</f>
        <v>6</v>
      </c>
      <c r="X9">
        <f>IF(guodubiaoge!$B9="Te0+Sim+10",[5]guodubiaoge!$V9,
IF(guodubiaoge!$D9="Te0+Sim+10",[5]guodubiaoge!$W9,
IF(guodubiaoge!$F9="Te0+Sim+10",[5]guodubiaoge!$X9,
IF(guodubiaoge!$H9="Te0+Sim+10",[5]guodubiaoge!$Y9,""))))</f>
        <v>6</v>
      </c>
      <c r="Y9" t="str">
        <f>IF(guodubiaoge!$B9="Te0+SL+10",[5]guodubiaoge!$U9,
IF(guodubiaoge!$D9="Te0+SL+10",[5]guodubiaoge!$W9,
IF(guodubiaoge!$F9="Te0+SL+10",[5]guodubiaoge!$X9,
IF(guodubiaoge!$H9="Te0+SL+10",[5]guodubiaoge!$Y9,""))))</f>
        <v/>
      </c>
      <c r="Z9">
        <f>IF(guodubiaoge!$B9="Te0-10",[5]guodubiaoge!$U9,
IF(guodubiaoge!$D9="Te0-10",[5]guodubiaoge!$W9,
IF(guodubiaoge!$F9="Te0-10",[5]guodubiaoge!$X9,
IF(guodubiaoge!$H9="Te0-10",[5]guodubiaoge!$Y9,""))))</f>
        <v>6</v>
      </c>
      <c r="AA9">
        <f>IF(guodubiaoge!$B9="Te0",[5]guodubiaoge!$Z9,
IF(guodubiaoge!$D9="Te0",[5]guodubiaoge!$AA9,
IF(guodubiaoge!$F9="Te0",[5]guodubiaoge!$AB9,
IF(guodubiaoge!$H9="Te0",[5]guodubiaoge!$AC9,""))))</f>
        <v>8.2152068133453096</v>
      </c>
      <c r="AB9">
        <f>IF(guodubiaoge!$B9="Te0+HF+6",[5]guodubiaoge!$Z9,
IF(guodubiaoge!$D9="Te0+HF+6",[5]guodubiaoge!$AA9,
IF(guodubiaoge!$F9="Te0+HF+6",[5]guodubiaoge!$AB9,
IF(guodubiaoge!$H9="Te0+HF+6",[5]guodubiaoge!$AC9,""))))</f>
        <v>-13.891373580809701</v>
      </c>
      <c r="AC9">
        <f>IF(guodubiaoge!$B9="Te0+Sim+10",[5]guodubiaoge!$Z9,
IF(guodubiaoge!$D9="Te0+Sim+10",[5]guodubiaoge!$AA9,
IF(guodubiaoge!$F9="Te0+Sim+10",[5]guodubiaoge!$AB9,
IF(guodubiaoge!$H9="Te0+Sim+10",[5]guodubiaoge!$AC9,""))))</f>
        <v>-0.383677121647921</v>
      </c>
      <c r="AD9" t="str">
        <f>IF(guodubiaoge!$B9="Te0+SL+10",[5]guodubiaoge!$Z9,
IF(guodubiaoge!$D9="Te0+SL+10",[5]guodubiaoge!$AA9,
IF(guodubiaoge!$F9="Te0+SL+10",[5]guodubiaoge!$AB9,
IF(guodubiaoge!$H9="Te0+SL+10",[5]guodubiaoge!$AC9,""))))</f>
        <v/>
      </c>
      <c r="AE9">
        <f>IF(guodubiaoge!$B9="Te0-10",[5]guodubiaoge!$Z9,
IF(guodubiaoge!$D9="Te0-10",[5]guodubiaoge!$AA9,
IF(guodubiaoge!$F9="Te0-10",[5]guodubiaoge!$AB9,
IF(guodubiaoge!$H9="Te0-10",[5]guodubiaoge!$AC9,""))))</f>
        <v>-35.229289272613997</v>
      </c>
      <c r="AF9">
        <f t="shared" si="0"/>
        <v>-0.92715610880453703</v>
      </c>
      <c r="AG9">
        <f t="shared" si="1"/>
        <v>-0.11644522262151533</v>
      </c>
      <c r="AH9" t="str">
        <f t="shared" si="2"/>
        <v/>
      </c>
      <c r="AI9">
        <f t="shared" si="3"/>
        <v>-0.44388288537485826</v>
      </c>
      <c r="AJ9">
        <f t="shared" si="4"/>
        <v>-7.3875227768060894E-2</v>
      </c>
      <c r="AK9" t="str">
        <f t="shared" si="5"/>
        <v/>
      </c>
      <c r="AL9">
        <f t="shared" si="6"/>
        <v>-1.3710389941793952</v>
      </c>
      <c r="AM9">
        <f t="shared" si="7"/>
        <v>-0.19032045038957623</v>
      </c>
      <c r="AN9" t="str">
        <f t="shared" si="8"/>
        <v/>
      </c>
      <c r="AO9">
        <f t="shared" si="9"/>
        <v>-9.5543916333370574E-2</v>
      </c>
      <c r="AP9">
        <f t="shared" si="10"/>
        <v>-0.40126510554577255</v>
      </c>
      <c r="AQ9" t="str">
        <f t="shared" si="11"/>
        <v/>
      </c>
      <c r="AR9">
        <f t="shared" si="12"/>
        <v>-0.12582328440308121</v>
      </c>
      <c r="AS9">
        <f t="shared" si="13"/>
        <v>-0.14721880916386135</v>
      </c>
      <c r="AT9" t="str">
        <f t="shared" si="14"/>
        <v/>
      </c>
      <c r="AU9">
        <f t="shared" si="15"/>
        <v>-0.32428595743675914</v>
      </c>
      <c r="AV9">
        <f t="shared" si="16"/>
        <v>-0.33564928053125742</v>
      </c>
      <c r="AW9" t="str">
        <f t="shared" si="17"/>
        <v/>
      </c>
      <c r="AX9" s="21">
        <f t="shared" si="18"/>
        <v>0.15627785545187942</v>
      </c>
      <c r="AY9">
        <f t="shared" si="19"/>
        <v>6.8247146886867421E-2</v>
      </c>
      <c r="AZ9">
        <f t="shared" si="20"/>
        <v>7.0330725749887607E-2</v>
      </c>
      <c r="BA9" t="str">
        <f t="shared" si="21"/>
        <v/>
      </c>
      <c r="BB9">
        <f>IF(guodubiaoge!$B9="TE0",[5]guodubiaoge!$AD9,
IF(guodubiaoge!$D9="TE0",[5]guodubiaoge!$AE9,
IF(guodubiaoge!$F9="TE0",[5]guodubiaoge!$AF9,
IF(guodubiaoge!$H9="TE0",[5]guodubiaoge!$AG9,""))))</f>
        <v>-1.4232804741773799E-3</v>
      </c>
      <c r="BC9">
        <f>IF(guodubiaoge!$B9="TE0+HF+6",[5]guodubiaoge!$AD9,
IF(guodubiaoge!$D9="TE0+HF+6",[5]guodubiaoge!$AE9,
IF(guodubiaoge!$F9="TE0+HF+6",[5]guodubiaoge!$AF9,
IF(guodubiaoge!$H9="TE0+HF+6",[5]guodubiaoge!$AG9,""))))</f>
        <v>4.3198689243102001E-4</v>
      </c>
      <c r="BD9">
        <f>IF(guodubiaoge!$B9="TE0+Sim+10",[5]guodubiaoge!$AD9,
IF(guodubiaoge!$D9="TE0+Sim+10",[5]guodubiaoge!$AE9,
IF(guodubiaoge!$F9="TE0+Sim+10",[5]guodubiaoge!$AF9,
IF(guodubiaoge!$H9="TE0+Sim+10",[5]guodubiaoge!$AG9,""))))</f>
        <v>-4.1539851719019803E-3</v>
      </c>
      <c r="BE9" t="str">
        <f>IF(guodubiaoge!$B9="TE0+SL+10",[5]guodubiaoge!$AD9,
IF(guodubiaoge!$D9="TE0+SL+10",[5]guodubiaoge!$AE9,
IF(guodubiaoge!$F9="TE0+SL+10",[5]guodubiaoge!$AF9,
IF(guodubiaoge!$H9="TE0+SL+10",[5]guodubiaoge!$AG9,""))))</f>
        <v/>
      </c>
      <c r="BF9">
        <f>IF(guodubiaoge!$B9="TE0",[5]guodubiaoge!$AH9,
IF(guodubiaoge!$D9="TE0",[5]guodubiaoge!$AI9,
IF(guodubiaoge!$F9="TE0",[5]guodubiaoge!$AJ9,
IF(guodubiaoge!$H9="TE0",[5]guodubiaoge!$AK9,""))))</f>
        <v>-2.0544840294840602E-2</v>
      </c>
      <c r="BG9">
        <f>IF(guodubiaoge!$B9="TE0+HF+6",[5]guodubiaoge!$AH9,
IF(guodubiaoge!$D9="TE0+HF+6",[5]guodubiaoge!$AI9,
IF(guodubiaoge!$F9="TE0+HF+6",[5]guodubiaoge!$AJ9,
IF(guodubiaoge!$H9="TE0+HF+6",[5]guodubiaoge!$AK9,""))))</f>
        <v>-2.2822966507181101E-3</v>
      </c>
      <c r="BH9">
        <f>IF(guodubiaoge!$B9="TE0+Sim+10",[5]guodubiaoge!$AH9,
IF(guodubiaoge!$D9="TE0+Sim+10",[5]guodubiaoge!$AI9,
IF(guodubiaoge!$F9="TE0+Sim+10",[5]guodubiaoge!$AJ9,
IF(guodubiaoge!$H9="TE0+Sim+10",[5]guodubiaoge!$AK9,""))))</f>
        <v>-4.6352608422377498E-2</v>
      </c>
      <c r="BI9" t="str">
        <f>IF(guodubiaoge!$B9="TE0+SL+10",[5]guodubiaoge!$AH9,
IF(guodubiaoge!$D9="TE0+SL+10",[5]guodubiaoge!$AI9,
IF(guodubiaoge!$F9="TE0+SL+10",[5]guodubiaoge!$AJ9,
IF(guodubiaoge!$H9="TE0+SL+10",[5]guodubiaoge!$AK9,""))))</f>
        <v/>
      </c>
      <c r="BJ9">
        <f>IF(guodubiaoge!$B9="TE0",[5]guodubiaoge!$AL9,
IF(guodubiaoge!$D9="TE0",[5]guodubiaoge!$AM9,
IF(guodubiaoge!$F9="TE0",[5]guodubiaoge!$AN9,
IF(guodubiaoge!$H9="TE0",[5]guodubiaoge!$AO9,""))))</f>
        <v>-0.68776372869006497</v>
      </c>
      <c r="BK9">
        <f>IF(guodubiaoge!$B9="TE0+HF+6",[5]guodubiaoge!$AL9,
IF(guodubiaoge!$D9="TE0+HF+6",[5]guodubiaoge!$AM9,
IF(guodubiaoge!$F9="TE0+HF+6",[5]guodubiaoge!$AN9,
IF(guodubiaoge!$H9="TE0+HF+6",[5]guodubiaoge!$AO9,""))))</f>
        <v>-5.4388557407029801</v>
      </c>
      <c r="BL9">
        <f>IF(guodubiaoge!$B9="TE0+Sim+10",[5]guodubiaoge!$AL9,
IF(guodubiaoge!$D9="TE0+Sim+10",[5]guodubiaoge!$AM9,
IF(guodubiaoge!$F9="TE0+Sim+10",[5]guodubiaoge!$AN9,
IF(guodubiaoge!$H9="TE0+Sim+10",[5]guodubiaoge!$AO9,""))))</f>
        <v>25.380382945411601</v>
      </c>
      <c r="BM9" t="str">
        <f>IF(guodubiaoge!$B9="TE0+SL+10",[5]guodubiaoge!$AL9,
IF(guodubiaoge!$D9="TE0+SL+10",[5]guodubiaoge!$AM9,
IF(guodubiaoge!$F9="TE0+SL+10",[5]guodubiaoge!$AN9,
IF(guodubiaoge!$H9="TE0+SL+10",[5]guodubiaoge!$AO9,""))))</f>
        <v/>
      </c>
      <c r="BN9">
        <f>IF(guodubiaoge!$B9="TE0",[5]guodubiaoge!$AP9,
IF(guodubiaoge!$D9="TE0",[5]guodubiaoge!$AQ9,
IF(guodubiaoge!$F9="TE0",[5]guodubiaoge!$AR9,
IF(guodubiaoge!$H9="TE0",[5]guodubiaoge!$AS9,""))))</f>
        <v>-14.717320602953899</v>
      </c>
      <c r="BO9">
        <f>IF(guodubiaoge!$B9="TE0+HF+6",[5]guodubiaoge!$AP9,
IF(guodubiaoge!$D9="TE0+HF+6",[5]guodubiaoge!$AQ9,
IF(guodubiaoge!$F9="TE0+HF+6",[5]guodubiaoge!$AR9,
IF(guodubiaoge!$H9="TE0+HF+6",[5]guodubiaoge!$AS9,""))))</f>
        <v>-17.937897681923999</v>
      </c>
      <c r="BP9">
        <f>IF(guodubiaoge!$B9="TE0+Sim+10",[5]guodubiaoge!$AP9,
IF(guodubiaoge!$D9="TE0+Sim+10",[5]guodubiaoge!$AQ9,
IF(guodubiaoge!$F9="TE0+Sim+10",[5]guodubiaoge!$AR9,
IF(guodubiaoge!$H9="TE0+Sim+10",[5]guodubiaoge!$AS9,""))))</f>
        <v>-16.315288478081001</v>
      </c>
      <c r="BQ9" t="str">
        <f>IF(guodubiaoge!$B9="TE0+SL+10",[5]guodubiaoge!$AP9,
IF(guodubiaoge!$D9="TE0+SL+10",[5]guodubiaoge!$AQ9,
IF(guodubiaoge!$F9="TE0+SL+10",[5]guodubiaoge!$AR9,
IF(guodubiaoge!$H9="TE0+SL+10",[5]guodubiaoge!$AS9,""))))</f>
        <v/>
      </c>
      <c r="BR9">
        <f t="shared" si="22"/>
        <v>3.1235200382698832E-2</v>
      </c>
      <c r="BS9" s="26">
        <f t="shared" si="23"/>
        <v>0.19314621859585718</v>
      </c>
      <c r="BT9" s="26">
        <f t="shared" si="24"/>
        <v>-0.3126327002826596</v>
      </c>
      <c r="BU9" s="26" t="str">
        <f t="shared" si="25"/>
        <v/>
      </c>
      <c r="BV9" s="26">
        <f t="shared" si="26"/>
        <v>2.3096094528875538E-2</v>
      </c>
      <c r="BW9">
        <f t="shared" si="27"/>
        <v>-1.0911178203927277E-2</v>
      </c>
      <c r="BX9">
        <f t="shared" si="28"/>
        <v>0.19184214323040871</v>
      </c>
      <c r="BY9" t="str">
        <f t="shared" si="29"/>
        <v/>
      </c>
      <c r="BZ9">
        <f t="shared" si="30"/>
        <v>0.23222442531212351</v>
      </c>
      <c r="CA9">
        <f t="shared" si="31"/>
        <v>-0.10827960265639065</v>
      </c>
      <c r="CB9">
        <f t="shared" si="32"/>
        <v>0.77431833241761172</v>
      </c>
      <c r="CC9" t="str">
        <f t="shared" si="33"/>
        <v/>
      </c>
      <c r="CD9">
        <f t="shared" si="34"/>
        <v>-3.4083796012088476E-2</v>
      </c>
      <c r="CE9">
        <f t="shared" si="35"/>
        <v>-0.22874204110338858</v>
      </c>
      <c r="CF9">
        <f t="shared" si="36"/>
        <v>6.5615825014515156E-2</v>
      </c>
      <c r="CG9" t="str">
        <f t="shared" si="37"/>
        <v/>
      </c>
      <c r="CH9">
        <f t="shared" si="38"/>
        <v>5.4331294911574374E-2</v>
      </c>
      <c r="CI9">
        <f t="shared" si="39"/>
        <v>0.18223504039192989</v>
      </c>
      <c r="CJ9">
        <f t="shared" si="40"/>
        <v>-0.12079055705225089</v>
      </c>
      <c r="CK9" t="str">
        <f t="shared" si="41"/>
        <v/>
      </c>
      <c r="CL9">
        <f t="shared" si="42"/>
        <v>0.40550948242144058</v>
      </c>
      <c r="CM9">
        <f t="shared" si="43"/>
        <v>-0.23410288705947185</v>
      </c>
      <c r="CN9">
        <f t="shared" si="44"/>
        <v>0.6270995232537504</v>
      </c>
      <c r="CO9" t="str">
        <f t="shared" si="45"/>
        <v/>
      </c>
      <c r="CP9">
        <f>IF(AA9="","",(AA9-AVERAGE($AA$2:AA$26))/_xlfn.STDEV.S($AA$2:$AA$26))</f>
        <v>0.17328505710931708</v>
      </c>
      <c r="CQ9">
        <f>IF(L9="","",(L9-AVERAGE($L$2:L$26))/_xlfn.STDEV.S($L$2:$L$26))</f>
        <v>0.12215392404527069</v>
      </c>
      <c r="CR9">
        <f t="shared" si="46"/>
        <v>8.8070128033182205E-2</v>
      </c>
      <c r="CS9">
        <f>IF(B9="","",(B9-AVERAGE($B$2:B$26))/_xlfn.STDEV.S($B$2:$B$26))</f>
        <v>-0.48634880249960916</v>
      </c>
      <c r="CT9">
        <f>IF(G9="","",(G9-AVERAGE($G$2:G$26))/_xlfn.STDEV.S($G$2:$G$26))</f>
        <v>-0.82179325453757224</v>
      </c>
      <c r="CU9">
        <f t="shared" si="47"/>
        <v>-1.3081420570371813</v>
      </c>
    </row>
    <row r="10" spans="1:99">
      <c r="A10">
        <v>9</v>
      </c>
      <c r="B10" s="21">
        <f>IF(guodubiaoge!$B10="Te0",[5]guodubiaoge!$C10,
IF(guodubiaoge!$D10="Te0",[5]guodubiaoge!$E10,
IF(guodubiaoge!$F10="Te0",[5]guodubiaoge!$G10,
IF(guodubiaoge!$H10="Te0",[5]guodubiaoge!$I10,""))))</f>
        <v>1.4716276758914299E-4</v>
      </c>
      <c r="C10">
        <f>IF(guodubiaoge!$B10="Te0+HF+6",[5]guodubiaoge!$C10,
IF(guodubiaoge!$D10="Te0+HF+6",[5]guodubiaoge!$E10,
IF(guodubiaoge!$F10="Te0+HF+6",[5]guodubiaoge!$G10,
IF(guodubiaoge!$H10="Te0+HF+6",[5]guodubiaoge!$I10,""))))</f>
        <v>6.45027534952079E-4</v>
      </c>
      <c r="D10" t="str">
        <f>IF(guodubiaoge!$B10="Te0+Sim+10",[5]guodubiaoge!$C10,
IF(guodubiaoge!$D10="Te0+Sim+10",[5]guodubiaoge!$E10,
IF(guodubiaoge!$F10="Te0+Sim+10",[5]guodubiaoge!$G10,
IF(guodubiaoge!$H10="Te0+Sim+10",[5]guodubiaoge!$I10,""))))</f>
        <v/>
      </c>
      <c r="E10" t="str">
        <f>IF(guodubiaoge!$B10="Te0+SL+10",[5]guodubiaoge!$C10,
IF(guodubiaoge!$D10="Te0+SL+10",[5]guodubiaoge!$E10,
IF(guodubiaoge!$F10="Te0+SL+10",[5]guodubiaoge!$G10,
IF(guodubiaoge!$H10="Te0+SL+10",[5]guodubiaoge!$I10,""))))</f>
        <v/>
      </c>
      <c r="F10">
        <f>IF(guodubiaoge!$B10="Te0-10",[5]guodubiaoge!$C10,
IF(guodubiaoge!$D10="Te0-10",[5]guodubiaoge!$E10,
IF(guodubiaoge!$F10="Te0-10",[5]guodubiaoge!$G10,
IF(guodubiaoge!$H10="Te0-10",[5]guodubiaoge!$I10,""))))</f>
        <v>-1.13008325047388E-3</v>
      </c>
      <c r="G10">
        <f>IF(guodubiaoge!$B10="Te0",[5]guodubiaoge!$J10,
IF(guodubiaoge!$D10="Te0",[5]guodubiaoge!$K10,
IF(guodubiaoge!$F10="Te0",[5]guodubiaoge!$L10,
IF(guodubiaoge!$H10="Te0",[5]guodubiaoge!$M10,""))))</f>
        <v>8.0509166173861904E-2</v>
      </c>
      <c r="H10">
        <f>IF(guodubiaoge!$B10="Te0+HF+6",[5]guodubiaoge!$J10,
IF(guodubiaoge!$D10="Te0+HF+6",[5]guodubiaoge!$K10,
IF(guodubiaoge!$F10="Te0+HF+6",[5]guodubiaoge!$L10,
IF(guodubiaoge!$H10="Te0+HF+6",[5]guodubiaoge!$M10,""))))</f>
        <v>5.2886991001984702E-3</v>
      </c>
      <c r="I10" t="str">
        <f>IF(guodubiaoge!$B10="Te0+Sim+10",[5]guodubiaoge!$J10,
IF(guodubiaoge!$D10="Te0+Sim+10",[5]guodubiaoge!$K10,
IF(guodubiaoge!$F10="Te0+Sim+10",[5]guodubiaoge!$L10,
IF(guodubiaoge!$H10="Te0+Sim+10",[5]guodubiaoge!$M10,""))))</f>
        <v/>
      </c>
      <c r="J10" t="str">
        <f>IF(guodubiaoge!$B10="Te0+SL+10",[5]guodubiaoge!$J10,
IF(guodubiaoge!$D10="Te0+SL+10",[5]guodubiaoge!$K10,
IF(guodubiaoge!$F10="Te0+SL+10",[5]guodubiaoge!$L10,
IF(guodubiaoge!$H10="Te0+SL+10",[5]guodubiaoge!$M10,""))))</f>
        <v/>
      </c>
      <c r="K10">
        <f>IF(guodubiaoge!$B10="Te0-10",[5]guodubiaoge!$J10,
IF(guodubiaoge!$D10="Te0-10",[5]guodubiaoge!$K10,
IF(guodubiaoge!$F10="Te0-10",[5]guodubiaoge!$L10,
IF(guodubiaoge!$H10="Te0-10",[5]guodubiaoge!$M10,""))))</f>
        <v>-1.9124778237713501E-3</v>
      </c>
      <c r="L10">
        <f>IF(guodubiaoge!$B10="Te0",[5]guodubiaoge!$N10,
IF(guodubiaoge!$D10="Te0",[5]guodubiaoge!$O10,
IF(guodubiaoge!$F10="Te0",[5]guodubiaoge!$P10,
IF(guodubiaoge!$H10="Te0",[5]guodubiaoge!$Q10,""))))</f>
        <v>-15.6785403303309</v>
      </c>
      <c r="M10">
        <f>IF(guodubiaoge!$B10="Te0+HF+6",[5]guodubiaoge!$N10,
IF(guodubiaoge!$D10="Te0+HF+6",[5]guodubiaoge!$O10,
IF(guodubiaoge!$F10="Te0+HF+6",[5]guodubiaoge!$P10,
IF(guodubiaoge!$H10="Te0+HF+6",[5]guodubiaoge!$Q10,""))))</f>
        <v>0.44540024507300302</v>
      </c>
      <c r="N10" t="str">
        <f>IF(guodubiaoge!$B10="Te0+Sim+10",[5]guodubiaoge!$N10,
IF(guodubiaoge!$D10="Te0+Sim+10",[5]guodubiaoge!$O10,
IF(guodubiaoge!$F10="Te0+Sim+10",[5]guodubiaoge!$P10,
IF(guodubiaoge!$H10="Te0+Sim+10",[5]guodubiaoge!$Q10,""))))</f>
        <v/>
      </c>
      <c r="O10" t="str">
        <f>IF(guodubiaoge!$B10="Te0+SL+10",[5]guodubiaoge!$N10,
IF(guodubiaoge!$D10="Te0+SL+10",[5]guodubiaoge!$O10,
IF(guodubiaoge!$F10="Te0+SL+10",[5]guodubiaoge!$P10,
IF(guodubiaoge!$H10="Te0+SL+10",[5]guodubiaoge!$Q10,""))))</f>
        <v/>
      </c>
      <c r="P10">
        <f>IF(guodubiaoge!$B10="Te0-10",[5]guodubiaoge!$N10,
IF(guodubiaoge!$D10="Te0-10",[5]guodubiaoge!$O10,
IF(guodubiaoge!$F10="Te0-10",[5]guodubiaoge!$P10,
IF(guodubiaoge!$H10="Te0-10",[5]guodubiaoge!$Q10,""))))</f>
        <v>105.539833785505</v>
      </c>
      <c r="Q10">
        <f>IF(guodubiaoge!$B10="Te0",[5]guodubiaoge!$R10,
IF(guodubiaoge!$D10="Te0",[5]guodubiaoge!$S10,
IF(guodubiaoge!$F10="Te0",[5]guodubiaoge!$T10,
IF(guodubiaoge!$H10="Te0",[5]guodubiaoge!$U10,""))))</f>
        <v>8</v>
      </c>
      <c r="R10">
        <f>IF(guodubiaoge!$B10="Te0+HF+6",[5]guodubiaoge!$R10,
IF(guodubiaoge!$D10="Te0+HF+6",[5]guodubiaoge!$S10,
IF(guodubiaoge!$F10="Te0+HF+6",[5]guodubiaoge!$T10,
IF(guodubiaoge!$H10="Te0+HF+6",[5]guodubiaoge!$U10,""))))</f>
        <v>8</v>
      </c>
      <c r="S10" t="str">
        <f>IF(guodubiaoge!$B10="Te0+Sim+10",[5]guodubiaoge!$R10,
IF(guodubiaoge!$D10="Te0+Sim+10",[5]guodubiaoge!$S10,
IF(guodubiaoge!$F10="Te0+Sim+10",[5]guodubiaoge!$T10,
IF(guodubiaoge!$H10="Te0+Sim+10",[5]guodubiaoge!$U10,""))))</f>
        <v/>
      </c>
      <c r="T10" t="str">
        <f>IF(guodubiaoge!$B10="Te0+SL+10",[5]guodubiaoge!$R10,
IF(guodubiaoge!$D10="Te0+SL+10",[5]guodubiaoge!$S10,
IF(guodubiaoge!$F10="Te0+SL+10",[5]guodubiaoge!$T10,
IF(guodubiaoge!$H10="Te0+SL+10",[5]guodubiaoge!$U10,""))))</f>
        <v/>
      </c>
      <c r="U10">
        <f>IF(guodubiaoge!$B10="Te0-10",[5]guodubiaoge!$R10,
IF(guodubiaoge!$D10="Te0-10",[5]guodubiaoge!$S10,
IF(guodubiaoge!$F10="Te0-10",[5]guodubiaoge!$T10,
IF(guodubiaoge!$H10="Te0-10",[5]guodubiaoge!$U10,""))))</f>
        <v>8</v>
      </c>
      <c r="V10">
        <f>IF(guodubiaoge!$B10="Te0",[5]guodubiaoge!$V10,
IF(guodubiaoge!$D10="Te0",[5]guodubiaoge!$W10,
IF(guodubiaoge!$F10="Te0",[5]guodubiaoge!$X10,
IF(guodubiaoge!$H10="Te0",[5]guodubiaoge!$Y10,""))))</f>
        <v>8</v>
      </c>
      <c r="W10">
        <f>IF(guodubiaoge!$B10="Te0+HF+6",[5]guodubiaoge!$V10,
IF(guodubiaoge!$D10="Te0+HF+6",[5]guodubiaoge!$W10,
IF(guodubiaoge!$F10="Te0+HF+6",[5]guodubiaoge!$X10,
IF(guodubiaoge!$H10="Te0+HF+6",[5]guodubiaoge!$Y10,""))))</f>
        <v>8</v>
      </c>
      <c r="X10" t="str">
        <f>IF(guodubiaoge!$B10="Te0+Sim+10",[5]guodubiaoge!$V10,
IF(guodubiaoge!$D10="Te0+Sim+10",[5]guodubiaoge!$W10,
IF(guodubiaoge!$F10="Te0+Sim+10",[5]guodubiaoge!$X10,
IF(guodubiaoge!$H10="Te0+Sim+10",[5]guodubiaoge!$Y10,""))))</f>
        <v/>
      </c>
      <c r="Y10" t="str">
        <f>IF(guodubiaoge!$B10="Te0+SL+10",[5]guodubiaoge!$U10,
IF(guodubiaoge!$D10="Te0+SL+10",[5]guodubiaoge!$W10,
IF(guodubiaoge!$F10="Te0+SL+10",[5]guodubiaoge!$X10,
IF(guodubiaoge!$H10="Te0+SL+10",[5]guodubiaoge!$Y10,""))))</f>
        <v/>
      </c>
      <c r="Z10">
        <f>IF(guodubiaoge!$B10="Te0-10",[5]guodubiaoge!$U10,
IF(guodubiaoge!$D10="Te0-10",[5]guodubiaoge!$W10,
IF(guodubiaoge!$F10="Te0-10",[5]guodubiaoge!$X10,
IF(guodubiaoge!$H10="Te0-10",[5]guodubiaoge!$Y10,""))))</f>
        <v>8</v>
      </c>
      <c r="AA10">
        <f>IF(guodubiaoge!$B10="Te0",[5]guodubiaoge!$Z10,
IF(guodubiaoge!$D10="Te0",[5]guodubiaoge!$AA10,
IF(guodubiaoge!$F10="Te0",[5]guodubiaoge!$AB10,
IF(guodubiaoge!$H10="Te0",[5]guodubiaoge!$AC10,""))))</f>
        <v>-22.5033118002363</v>
      </c>
      <c r="AB10">
        <f>IF(guodubiaoge!$B10="Te0+HF+6",[5]guodubiaoge!$Z10,
IF(guodubiaoge!$D10="Te0+HF+6",[5]guodubiaoge!$AA10,
IF(guodubiaoge!$F10="Te0+HF+6",[5]guodubiaoge!$AB10,
IF(guodubiaoge!$H10="Te0+HF+6",[5]guodubiaoge!$AC10,""))))</f>
        <v>-108.780670353391</v>
      </c>
      <c r="AC10" t="str">
        <f>IF(guodubiaoge!$B10="Te0+Sim+10",[5]guodubiaoge!$Z10,
IF(guodubiaoge!$D10="Te0+Sim+10",[5]guodubiaoge!$AA10,
IF(guodubiaoge!$F10="Te0+Sim+10",[5]guodubiaoge!$AB10,
IF(guodubiaoge!$H10="Te0+Sim+10",[5]guodubiaoge!$AC10,""))))</f>
        <v/>
      </c>
      <c r="AD10" t="str">
        <f>IF(guodubiaoge!$B10="Te0+SL+10",[5]guodubiaoge!$Z10,
IF(guodubiaoge!$D10="Te0+SL+10",[5]guodubiaoge!$AA10,
IF(guodubiaoge!$F10="Te0+SL+10",[5]guodubiaoge!$AB10,
IF(guodubiaoge!$H10="Te0+SL+10",[5]guodubiaoge!$AC10,""))))</f>
        <v/>
      </c>
      <c r="AE10">
        <f>IF(guodubiaoge!$B10="Te0-10",[5]guodubiaoge!$Z10,
IF(guodubiaoge!$D10="Te0-10",[5]guodubiaoge!$AA10,
IF(guodubiaoge!$F10="Te0-10",[5]guodubiaoge!$AB10,
IF(guodubiaoge!$H10="Te0-10",[5]guodubiaoge!$AC10,""))))</f>
        <v>-5.3718191310109802</v>
      </c>
      <c r="AF10">
        <f t="shared" si="0"/>
        <v>-4.8307392491055361E-2</v>
      </c>
      <c r="AG10" t="str">
        <f t="shared" si="1"/>
        <v/>
      </c>
      <c r="AH10" t="str">
        <f t="shared" si="2"/>
        <v/>
      </c>
      <c r="AI10">
        <f t="shared" si="3"/>
        <v>0.52989920201589147</v>
      </c>
      <c r="AJ10" t="str">
        <f t="shared" si="4"/>
        <v/>
      </c>
      <c r="AK10" t="str">
        <f t="shared" si="5"/>
        <v/>
      </c>
      <c r="AL10">
        <f t="shared" si="6"/>
        <v>0.4815918095248361</v>
      </c>
      <c r="AM10" t="str">
        <f t="shared" si="7"/>
        <v/>
      </c>
      <c r="AN10" t="str">
        <f t="shared" si="8"/>
        <v/>
      </c>
      <c r="AO10">
        <f t="shared" si="9"/>
        <v>-6.0902883813034922E-2</v>
      </c>
      <c r="AP10" t="str">
        <f t="shared" si="10"/>
        <v/>
      </c>
      <c r="AQ10" t="str">
        <f t="shared" si="11"/>
        <v/>
      </c>
      <c r="AR10">
        <f t="shared" si="12"/>
        <v>-0.72363791242501996</v>
      </c>
      <c r="AS10" t="str">
        <f t="shared" si="13"/>
        <v/>
      </c>
      <c r="AT10" t="str">
        <f t="shared" si="14"/>
        <v/>
      </c>
      <c r="AU10">
        <f t="shared" si="15"/>
        <v>-0.20738110964737566</v>
      </c>
      <c r="AV10" t="str">
        <f t="shared" si="16"/>
        <v/>
      </c>
      <c r="AW10" t="str">
        <f t="shared" si="17"/>
        <v/>
      </c>
      <c r="AX10" s="21">
        <f t="shared" si="18"/>
        <v>1.8279007792894127E-3</v>
      </c>
      <c r="AY10">
        <f t="shared" si="19"/>
        <v>0.12196336428515529</v>
      </c>
      <c r="AZ10" t="str">
        <f t="shared" si="20"/>
        <v/>
      </c>
      <c r="BA10" t="str">
        <f t="shared" si="21"/>
        <v/>
      </c>
      <c r="BB10">
        <f>IF(guodubiaoge!$B10="TE0",[5]guodubiaoge!$AD10,
IF(guodubiaoge!$D10="TE0",[5]guodubiaoge!$AE10,
IF(guodubiaoge!$F10="TE0",[5]guodubiaoge!$AF10,
IF(guodubiaoge!$H10="TE0",[5]guodubiaoge!$AG10,""))))</f>
        <v>-2.80517568182453E-4</v>
      </c>
      <c r="BC10">
        <f>IF(guodubiaoge!$B10="TE0+HF+6",[5]guodubiaoge!$AD10,
IF(guodubiaoge!$D10="TE0+HF+6",[5]guodubiaoge!$AE10,
IF(guodubiaoge!$F10="TE0+HF+6",[5]guodubiaoge!$AF10,
IF(guodubiaoge!$H10="TE0+HF+6",[5]guodubiaoge!$AG10,""))))</f>
        <v>-4.8106989894620999E-4</v>
      </c>
      <c r="BD10" t="str">
        <f>IF(guodubiaoge!$B10="TE0+Sim+10",[5]guodubiaoge!$AD10,
IF(guodubiaoge!$D10="TE0+Sim+10",[5]guodubiaoge!$AE10,
IF(guodubiaoge!$F10="TE0+Sim+10",[5]guodubiaoge!$AF10,
IF(guodubiaoge!$H10="TE0+Sim+10",[5]guodubiaoge!$AG10,""))))</f>
        <v/>
      </c>
      <c r="BE10" t="str">
        <f>IF(guodubiaoge!$B10="TE0+SL+10",[5]guodubiaoge!$AD10,
IF(guodubiaoge!$D10="TE0+SL+10",[5]guodubiaoge!$AE10,
IF(guodubiaoge!$F10="TE0+SL+10",[5]guodubiaoge!$AF10,
IF(guodubiaoge!$H10="TE0+SL+10",[5]guodubiaoge!$AG10,""))))</f>
        <v/>
      </c>
      <c r="BF10">
        <f>IF(guodubiaoge!$B10="TE0",[5]guodubiaoge!$AH10,
IF(guodubiaoge!$D10="TE0",[5]guodubiaoge!$AI10,
IF(guodubiaoge!$F10="TE0",[5]guodubiaoge!$AJ10,
IF(guodubiaoge!$H10="TE0",[5]guodubiaoge!$AK10,""))))</f>
        <v>5.2805118931700798E-2</v>
      </c>
      <c r="BG10">
        <f>IF(guodubiaoge!$B10="TE0+HF+6",[5]guodubiaoge!$AH10,
IF(guodubiaoge!$D10="TE0+HF+6",[5]guodubiaoge!$AI10,
IF(guodubiaoge!$F10="TE0+HF+6",[5]guodubiaoge!$AJ10,
IF(guodubiaoge!$H10="TE0+HF+6",[5]guodubiaoge!$AK10,""))))</f>
        <v>-4.3552777777776698E-2</v>
      </c>
      <c r="BH10" t="str">
        <f>IF(guodubiaoge!$B10="TE0+Sim+10",[5]guodubiaoge!$AH10,
IF(guodubiaoge!$D10="TE0+Sim+10",[5]guodubiaoge!$AI10,
IF(guodubiaoge!$F10="TE0+Sim+10",[5]guodubiaoge!$AJ10,
IF(guodubiaoge!$H10="TE0+Sim+10",[5]guodubiaoge!$AK10,""))))</f>
        <v/>
      </c>
      <c r="BI10" t="str">
        <f>IF(guodubiaoge!$B10="TE0+SL+10",[5]guodubiaoge!$AH10,
IF(guodubiaoge!$D10="TE0+SL+10",[5]guodubiaoge!$AI10,
IF(guodubiaoge!$F10="TE0+SL+10",[5]guodubiaoge!$AJ10,
IF(guodubiaoge!$H10="TE0+SL+10",[5]guodubiaoge!$AK10,""))))</f>
        <v/>
      </c>
      <c r="BJ10">
        <f>IF(guodubiaoge!$B10="TE0",[5]guodubiaoge!$AL10,
IF(guodubiaoge!$D10="TE0",[5]guodubiaoge!$AM10,
IF(guodubiaoge!$F10="TE0",[5]guodubiaoge!$AN10,
IF(guodubiaoge!$H10="TE0",[5]guodubiaoge!$AO10,""))))</f>
        <v>-48.041275491516799</v>
      </c>
      <c r="BK10">
        <f>IF(guodubiaoge!$B10="TE0+HF+6",[5]guodubiaoge!$AL10,
IF(guodubiaoge!$D10="TE0+HF+6",[5]guodubiaoge!$AM10,
IF(guodubiaoge!$F10="TE0+HF+6",[5]guodubiaoge!$AN10,
IF(guodubiaoge!$H10="TE0+HF+6",[5]guodubiaoge!$AO10,""))))</f>
        <v>-136.95360137026199</v>
      </c>
      <c r="BL10" t="str">
        <f>IF(guodubiaoge!$B10="TE0+Sim+10",[5]guodubiaoge!$AL10,
IF(guodubiaoge!$D10="TE0+Sim+10",[5]guodubiaoge!$AM10,
IF(guodubiaoge!$F10="TE0+Sim+10",[5]guodubiaoge!$AN10,
IF(guodubiaoge!$H10="TE0+Sim+10",[5]guodubiaoge!$AO10,""))))</f>
        <v/>
      </c>
      <c r="BM10" t="str">
        <f>IF(guodubiaoge!$B10="TE0+SL+10",[5]guodubiaoge!$AL10,
IF(guodubiaoge!$D10="TE0+SL+10",[5]guodubiaoge!$AM10,
IF(guodubiaoge!$F10="TE0+SL+10",[5]guodubiaoge!$AN10,
IF(guodubiaoge!$H10="TE0+SL+10",[5]guodubiaoge!$AO10,""))))</f>
        <v/>
      </c>
      <c r="BN10">
        <f>IF(guodubiaoge!$B10="TE0",[5]guodubiaoge!$AP10,
IF(guodubiaoge!$D10="TE0",[5]guodubiaoge!$AQ10,
IF(guodubiaoge!$F10="TE0",[5]guodubiaoge!$AR10,
IF(guodubiaoge!$H10="TE0",[5]guodubiaoge!$AS10,""))))</f>
        <v>-32.031325230560803</v>
      </c>
      <c r="BO10">
        <f>IF(guodubiaoge!$B10="TE0+HF+6",[5]guodubiaoge!$AP10,
IF(guodubiaoge!$D10="TE0+HF+6",[5]guodubiaoge!$AQ10,
IF(guodubiaoge!$F10="TE0+HF+6",[5]guodubiaoge!$AR10,
IF(guodubiaoge!$H10="TE0+HF+6",[5]guodubiaoge!$AS10,""))))</f>
        <v>-2.67242675409857</v>
      </c>
      <c r="BP10" t="str">
        <f>IF(guodubiaoge!$B10="TE0+Sim+10",[5]guodubiaoge!$AP10,
IF(guodubiaoge!$D10="TE0+Sim+10",[5]guodubiaoge!$AQ10,
IF(guodubiaoge!$F10="TE0+Sim+10",[5]guodubiaoge!$AR10,
IF(guodubiaoge!$H10="TE0+Sim+10",[5]guodubiaoge!$AS10,""))))</f>
        <v/>
      </c>
      <c r="BQ10" t="str">
        <f>IF(guodubiaoge!$B10="TE0+SL+10",[5]guodubiaoge!$AP10,
IF(guodubiaoge!$D10="TE0+SL+10",[5]guodubiaoge!$AQ10,
IF(guodubiaoge!$F10="TE0+SL+10",[5]guodubiaoge!$AR10,
IF(guodubiaoge!$H10="TE0+SL+10",[5]guodubiaoge!$AS10,""))))</f>
        <v/>
      </c>
      <c r="BR10">
        <f t="shared" si="22"/>
        <v>0.25045920461868754</v>
      </c>
      <c r="BS10" s="26">
        <f t="shared" si="23"/>
        <v>9.1045414679515144E-2</v>
      </c>
      <c r="BT10" s="26" t="str">
        <f t="shared" si="24"/>
        <v/>
      </c>
      <c r="BU10" s="26" t="str">
        <f t="shared" si="25"/>
        <v/>
      </c>
      <c r="BV10" s="26">
        <f t="shared" si="26"/>
        <v>0.67628196517230532</v>
      </c>
      <c r="BW10">
        <f t="shared" si="27"/>
        <v>-0.7537104868901916</v>
      </c>
      <c r="BX10" t="str">
        <f t="shared" si="28"/>
        <v/>
      </c>
      <c r="BY10" t="str">
        <f t="shared" si="29"/>
        <v/>
      </c>
      <c r="BZ10">
        <f t="shared" si="30"/>
        <v>-2.4727966472741767E-3</v>
      </c>
      <c r="CA10">
        <f t="shared" si="31"/>
        <v>-0.63604785649110562</v>
      </c>
      <c r="CB10" t="str">
        <f t="shared" si="32"/>
        <v/>
      </c>
      <c r="CC10" t="str">
        <f t="shared" si="33"/>
        <v/>
      </c>
      <c r="CD10">
        <f t="shared" si="34"/>
        <v>-0.14474350287150492</v>
      </c>
      <c r="CE10">
        <f t="shared" si="35"/>
        <v>-0.14647822583434073</v>
      </c>
      <c r="CF10" t="str">
        <f t="shared" si="36"/>
        <v/>
      </c>
      <c r="CG10" t="str">
        <f t="shared" si="37"/>
        <v/>
      </c>
      <c r="CH10">
        <f t="shared" si="38"/>
        <v>0.92674116979099286</v>
      </c>
      <c r="CI10">
        <f t="shared" si="39"/>
        <v>-0.6626650722106765</v>
      </c>
      <c r="CJ10" t="str">
        <f t="shared" si="40"/>
        <v/>
      </c>
      <c r="CK10" t="str">
        <f t="shared" si="41"/>
        <v/>
      </c>
      <c r="CL10">
        <f t="shared" si="42"/>
        <v>-1.3431729011317109E-2</v>
      </c>
      <c r="CM10">
        <f t="shared" si="43"/>
        <v>-1.3596857689161257</v>
      </c>
      <c r="CN10" t="str">
        <f t="shared" si="44"/>
        <v/>
      </c>
      <c r="CO10" t="str">
        <f t="shared" si="45"/>
        <v/>
      </c>
      <c r="CP10">
        <f>IF(AA10="","",(AA10-AVERAGE($AA$2:AA$26))/_xlfn.STDEV.S($AA$2:$AA$26))</f>
        <v>-1.0958932364042932E-2</v>
      </c>
      <c r="CQ10">
        <f>IF(L10="","",(L10-AVERAGE($L$2:L$26))/_xlfn.STDEV.S($L$2:$L$26))</f>
        <v>0.112345218596789</v>
      </c>
      <c r="CR10">
        <f t="shared" si="46"/>
        <v>-3.2398284274715916E-2</v>
      </c>
      <c r="CS10">
        <f>IF(B10="","",(B10-AVERAGE($B$2:B$26))/_xlfn.STDEV.S($B$2:$B$26))</f>
        <v>-8.9533711414206893E-2</v>
      </c>
      <c r="CT10">
        <f>IF(G10="","",(G10-AVERAGE($G$2:G$26))/_xlfn.STDEV.S($G$2:$G$26))</f>
        <v>0.8269085404332126</v>
      </c>
      <c r="CU10">
        <f t="shared" si="47"/>
        <v>0.73737482901900575</v>
      </c>
    </row>
    <row r="11" spans="1:99">
      <c r="A11">
        <v>10</v>
      </c>
      <c r="B11" s="21">
        <f>IF(guodubiaoge!$B11="Te0",[5]guodubiaoge!$C11,
IF(guodubiaoge!$D11="Te0",[5]guodubiaoge!$E11,
IF(guodubiaoge!$F11="Te0",[5]guodubiaoge!$G11,
IF(guodubiaoge!$H11="Te0",[5]guodubiaoge!$I11,""))))</f>
        <v>6.8312462250026407E-2</v>
      </c>
      <c r="C11">
        <f>IF(guodubiaoge!$B11="Te0+HF+6",[5]guodubiaoge!$C11,
IF(guodubiaoge!$D11="Te0+HF+6",[5]guodubiaoge!$E11,
IF(guodubiaoge!$F11="Te0+HF+6",[5]guodubiaoge!$G11,
IF(guodubiaoge!$H11="Te0+HF+6",[5]guodubiaoge!$I11,""))))</f>
        <v>-3.9438154306474299E-4</v>
      </c>
      <c r="D11" t="str">
        <f>IF(guodubiaoge!$B11="Te0+Sim+10",[5]guodubiaoge!$C11,
IF(guodubiaoge!$D11="Te0+Sim+10",[5]guodubiaoge!$E11,
IF(guodubiaoge!$F11="Te0+Sim+10",[5]guodubiaoge!$G11,
IF(guodubiaoge!$H11="Te0+Sim+10",[5]guodubiaoge!$I11,""))))</f>
        <v/>
      </c>
      <c r="E11">
        <f>IF(guodubiaoge!$B11="Te0+SL+10",[5]guodubiaoge!$C11,
IF(guodubiaoge!$D11="Te0+SL+10",[5]guodubiaoge!$E11,
IF(guodubiaoge!$F11="Te0+SL+10",[5]guodubiaoge!$G11,
IF(guodubiaoge!$H11="Te0+SL+10",[5]guodubiaoge!$I11,""))))</f>
        <v>6.6338742151316203E-4</v>
      </c>
      <c r="F11">
        <f>IF(guodubiaoge!$B11="Te0-10",[5]guodubiaoge!$C11,
IF(guodubiaoge!$D11="Te0-10",[5]guodubiaoge!$E11,
IF(guodubiaoge!$F11="Te0-10",[5]guodubiaoge!$G11,
IF(guodubiaoge!$H11="Te0-10",[5]guodubiaoge!$I11,""))))</f>
        <v>1.50807899403932E-3</v>
      </c>
      <c r="G11">
        <f>IF(guodubiaoge!$B11="Te0",[5]guodubiaoge!$J11,
IF(guodubiaoge!$D11="Te0",[5]guodubiaoge!$K11,
IF(guodubiaoge!$F11="Te0",[5]guodubiaoge!$L11,
IF(guodubiaoge!$H11="Te0",[5]guodubiaoge!$M11,""))))</f>
        <v>0.17375000000000099</v>
      </c>
      <c r="H11">
        <f>IF(guodubiaoge!$B11="Te0+HF+6",[5]guodubiaoge!$J11,
IF(guodubiaoge!$D11="Te0+HF+6",[5]guodubiaoge!$K11,
IF(guodubiaoge!$F11="Te0+HF+6",[5]guodubiaoge!$L11,
IF(guodubiaoge!$H11="Te0+HF+6",[5]guodubiaoge!$M11,""))))</f>
        <v>2.8614379084966599E-2</v>
      </c>
      <c r="I11" t="str">
        <f>IF(guodubiaoge!$B11="Te0+Sim+10",[5]guodubiaoge!$J11,
IF(guodubiaoge!$D11="Te0+Sim+10",[5]guodubiaoge!$K11,
IF(guodubiaoge!$F11="Te0+Sim+10",[5]guodubiaoge!$L11,
IF(guodubiaoge!$H11="Te0+Sim+10",[5]guodubiaoge!$M11,""))))</f>
        <v/>
      </c>
      <c r="J11">
        <f>IF(guodubiaoge!$B11="Te0+SL+10",[5]guodubiaoge!$J11,
IF(guodubiaoge!$D11="Te0+SL+10",[5]guodubiaoge!$K11,
IF(guodubiaoge!$F11="Te0+SL+10",[5]guodubiaoge!$L11,
IF(guodubiaoge!$H11="Te0+SL+10",[5]guodubiaoge!$M11,""))))</f>
        <v>7.4818181818181603E-2</v>
      </c>
      <c r="K11">
        <f>IF(guodubiaoge!$B11="Te0-10",[5]guodubiaoge!$J11,
IF(guodubiaoge!$D11="Te0-10",[5]guodubiaoge!$K11,
IF(guodubiaoge!$F11="Te0-10",[5]guodubiaoge!$L11,
IF(guodubiaoge!$H11="Te0-10",[5]guodubiaoge!$M11,""))))</f>
        <v>2.00068096697309E-2</v>
      </c>
      <c r="L11">
        <f>IF(guodubiaoge!$B11="Te0",[5]guodubiaoge!$N11,
IF(guodubiaoge!$D11="Te0",[5]guodubiaoge!$O11,
IF(guodubiaoge!$F11="Te0",[5]guodubiaoge!$P11,
IF(guodubiaoge!$H11="Te0",[5]guodubiaoge!$Q11,""))))</f>
        <v>-328.631248294268</v>
      </c>
      <c r="M11">
        <f>IF(guodubiaoge!$B11="Te0+HF+6",[5]guodubiaoge!$N11,
IF(guodubiaoge!$D11="Te0+HF+6",[5]guodubiaoge!$O11,
IF(guodubiaoge!$F11="Te0+HF+6",[5]guodubiaoge!$P11,
IF(guodubiaoge!$H11="Te0+HF+6",[5]guodubiaoge!$Q11,""))))</f>
        <v>572.686109431403</v>
      </c>
      <c r="N11" t="str">
        <f>IF(guodubiaoge!$B11="Te0+Sim+10",[5]guodubiaoge!$N11,
IF(guodubiaoge!$D11="Te0+Sim+10",[5]guodubiaoge!$O11,
IF(guodubiaoge!$F11="Te0+Sim+10",[5]guodubiaoge!$P11,
IF(guodubiaoge!$H11="Te0+Sim+10",[5]guodubiaoge!$Q11,""))))</f>
        <v/>
      </c>
      <c r="O11">
        <f>IF(guodubiaoge!$B11="Te0+SL+10",[5]guodubiaoge!$N11,
IF(guodubiaoge!$D11="Te0+SL+10",[5]guodubiaoge!$O11,
IF(guodubiaoge!$F11="Te0+SL+10",[5]guodubiaoge!$P11,
IF(guodubiaoge!$H11="Te0+SL+10",[5]guodubiaoge!$Q11,""))))</f>
        <v>-103.69254824995799</v>
      </c>
      <c r="P11">
        <f>IF(guodubiaoge!$B11="Te0-10",[5]guodubiaoge!$N11,
IF(guodubiaoge!$D11="Te0-10",[5]guodubiaoge!$O11,
IF(guodubiaoge!$F11="Te0-10",[5]guodubiaoge!$P11,
IF(guodubiaoge!$H11="Te0-10",[5]guodubiaoge!$Q11,""))))</f>
        <v>222.909944004512</v>
      </c>
      <c r="Q11">
        <f>IF(guodubiaoge!$B11="Te0",[5]guodubiaoge!$R11,
IF(guodubiaoge!$D11="Te0",[5]guodubiaoge!$S11,
IF(guodubiaoge!$F11="Te0",[5]guodubiaoge!$T11,
IF(guodubiaoge!$H11="Te0",[5]guodubiaoge!$U11,""))))</f>
        <v>5</v>
      </c>
      <c r="R11">
        <f>IF(guodubiaoge!$B11="Te0+HF+6",[5]guodubiaoge!$R11,
IF(guodubiaoge!$D11="Te0+HF+6",[5]guodubiaoge!$S11,
IF(guodubiaoge!$F11="Te0+HF+6",[5]guodubiaoge!$T11,
IF(guodubiaoge!$H11="Te0+HF+6",[5]guodubiaoge!$U11,""))))</f>
        <v>5</v>
      </c>
      <c r="S11" t="str">
        <f>IF(guodubiaoge!$B11="Te0+Sim+10",[5]guodubiaoge!$R11,
IF(guodubiaoge!$D11="Te0+Sim+10",[5]guodubiaoge!$S11,
IF(guodubiaoge!$F11="Te0+Sim+10",[5]guodubiaoge!$T11,
IF(guodubiaoge!$H11="Te0+Sim+10",[5]guodubiaoge!$U11,""))))</f>
        <v/>
      </c>
      <c r="T11">
        <f>IF(guodubiaoge!$B11="Te0+SL+10",[5]guodubiaoge!$R11,
IF(guodubiaoge!$D11="Te0+SL+10",[5]guodubiaoge!$S11,
IF(guodubiaoge!$F11="Te0+SL+10",[5]guodubiaoge!$T11,
IF(guodubiaoge!$H11="Te0+SL+10",[5]guodubiaoge!$U11,""))))</f>
        <v>6</v>
      </c>
      <c r="U11">
        <f>IF(guodubiaoge!$B11="Te0-10",[5]guodubiaoge!$R11,
IF(guodubiaoge!$D11="Te0-10",[5]guodubiaoge!$S11,
IF(guodubiaoge!$F11="Te0-10",[5]guodubiaoge!$T11,
IF(guodubiaoge!$H11="Te0-10",[5]guodubiaoge!$U11,""))))</f>
        <v>6</v>
      </c>
      <c r="V11">
        <f>IF(guodubiaoge!$B11="Te0",[5]guodubiaoge!$V11,
IF(guodubiaoge!$D11="Te0",[5]guodubiaoge!$W11,
IF(guodubiaoge!$F11="Te0",[5]guodubiaoge!$X11,
IF(guodubiaoge!$H11="Te0",[5]guodubiaoge!$Y11,""))))</f>
        <v>5</v>
      </c>
      <c r="W11">
        <f>IF(guodubiaoge!$B11="Te0+HF+6",[5]guodubiaoge!$V11,
IF(guodubiaoge!$D11="Te0+HF+6",[5]guodubiaoge!$W11,
IF(guodubiaoge!$F11="Te0+HF+6",[5]guodubiaoge!$X11,
IF(guodubiaoge!$H11="Te0+HF+6",[5]guodubiaoge!$Y11,""))))</f>
        <v>5</v>
      </c>
      <c r="X11" t="str">
        <f>IF(guodubiaoge!$B11="Te0+Sim+10",[5]guodubiaoge!$V11,
IF(guodubiaoge!$D11="Te0+Sim+10",[5]guodubiaoge!$W11,
IF(guodubiaoge!$F11="Te0+Sim+10",[5]guodubiaoge!$X11,
IF(guodubiaoge!$H11="Te0+Sim+10",[5]guodubiaoge!$Y11,""))))</f>
        <v/>
      </c>
      <c r="Y11">
        <f>IF(guodubiaoge!$B11="Te0+SL+10",[5]guodubiaoge!$U11,
IF(guodubiaoge!$D11="Te0+SL+10",[5]guodubiaoge!$W11,
IF(guodubiaoge!$F11="Te0+SL+10",[5]guodubiaoge!$X11,
IF(guodubiaoge!$H11="Te0+SL+10",[5]guodubiaoge!$Y11,""))))</f>
        <v>7</v>
      </c>
      <c r="Z11">
        <f>IF(guodubiaoge!$B11="Te0-10",[5]guodubiaoge!$U11,
IF(guodubiaoge!$D11="Te0-10",[5]guodubiaoge!$W11,
IF(guodubiaoge!$F11="Te0-10",[5]guodubiaoge!$X11,
IF(guodubiaoge!$H11="Te0-10",[5]guodubiaoge!$Y11,""))))</f>
        <v>7</v>
      </c>
      <c r="AA11">
        <f>IF(guodubiaoge!$B11="Te0",[5]guodubiaoge!$Z11,
IF(guodubiaoge!$D11="Te0",[5]guodubiaoge!$AA11,
IF(guodubiaoge!$F11="Te0",[5]guodubiaoge!$AB11,
IF(guodubiaoge!$H11="Te0",[5]guodubiaoge!$AC11,""))))</f>
        <v>-14.1824985443196</v>
      </c>
      <c r="AB11">
        <f>IF(guodubiaoge!$B11="Te0+HF+6",[5]guodubiaoge!$Z11,
IF(guodubiaoge!$D11="Te0+HF+6",[5]guodubiaoge!$AA11,
IF(guodubiaoge!$F11="Te0+HF+6",[5]guodubiaoge!$AB11,
IF(guodubiaoge!$H11="Te0+HF+6",[5]guodubiaoge!$AC11,""))))</f>
        <v>11.8873961869445</v>
      </c>
      <c r="AC11" t="str">
        <f>IF(guodubiaoge!$B11="Te0+Sim+10",[5]guodubiaoge!$Z11,
IF(guodubiaoge!$D11="Te0+Sim+10",[5]guodubiaoge!$AA11,
IF(guodubiaoge!$F11="Te0+Sim+10",[5]guodubiaoge!$AB11,
IF(guodubiaoge!$H11="Te0+Sim+10",[5]guodubiaoge!$AC11,""))))</f>
        <v/>
      </c>
      <c r="AD11">
        <f>IF(guodubiaoge!$B11="Te0+SL+10",[5]guodubiaoge!$Z11,
IF(guodubiaoge!$D11="Te0+SL+10",[5]guodubiaoge!$AA11,
IF(guodubiaoge!$F11="Te0+SL+10",[5]guodubiaoge!$AB11,
IF(guodubiaoge!$H11="Te0+SL+10",[5]guodubiaoge!$AC11,""))))</f>
        <v>-0.70966125362339505</v>
      </c>
      <c r="AE11">
        <f>IF(guodubiaoge!$B11="Te0-10",[5]guodubiaoge!$Z11,
IF(guodubiaoge!$D11="Te0-10",[5]guodubiaoge!$AA11,
IF(guodubiaoge!$F11="Te0-10",[5]guodubiaoge!$AB11,
IF(guodubiaoge!$H11="Te0-10",[5]guodubiaoge!$AC11,""))))</f>
        <v>-11.3480017838635</v>
      </c>
      <c r="AF11">
        <f t="shared" si="0"/>
        <v>-0.35871470096479008</v>
      </c>
      <c r="AG11" t="str">
        <f t="shared" si="1"/>
        <v/>
      </c>
      <c r="AH11">
        <f t="shared" si="2"/>
        <v>0.39329975394408451</v>
      </c>
      <c r="AI11">
        <f t="shared" si="3"/>
        <v>1.1129422967786538</v>
      </c>
      <c r="AJ11" t="str">
        <f t="shared" si="4"/>
        <v/>
      </c>
      <c r="AK11">
        <f t="shared" si="5"/>
        <v>0.76732654070206985</v>
      </c>
      <c r="AL11">
        <f t="shared" si="6"/>
        <v>0.75422759581386367</v>
      </c>
      <c r="AM11" t="str">
        <f t="shared" si="7"/>
        <v/>
      </c>
      <c r="AN11">
        <f t="shared" si="8"/>
        <v>1.1606262946461543</v>
      </c>
      <c r="AO11">
        <f t="shared" si="9"/>
        <v>2.2324734098540389</v>
      </c>
      <c r="AP11" t="str">
        <f t="shared" si="10"/>
        <v/>
      </c>
      <c r="AQ11">
        <f t="shared" si="11"/>
        <v>-0.46313999467351885</v>
      </c>
      <c r="AR11">
        <f t="shared" si="12"/>
        <v>3.658624105170364E-2</v>
      </c>
      <c r="AS11" t="str">
        <f t="shared" si="13"/>
        <v/>
      </c>
      <c r="AT11">
        <f t="shared" si="14"/>
        <v>0.28942690654143377</v>
      </c>
      <c r="AU11">
        <f t="shared" si="15"/>
        <v>4.1803114982883383</v>
      </c>
      <c r="AV11" t="str">
        <f t="shared" si="16"/>
        <v/>
      </c>
      <c r="AW11">
        <f t="shared" si="17"/>
        <v>-0.78239808799763266</v>
      </c>
      <c r="AX11" s="21">
        <f t="shared" si="18"/>
        <v>0.393165250359862</v>
      </c>
      <c r="AY11">
        <f t="shared" si="19"/>
        <v>-1.3782635013455277E-2</v>
      </c>
      <c r="AZ11" t="str">
        <f t="shared" si="20"/>
        <v/>
      </c>
      <c r="BA11">
        <f t="shared" si="21"/>
        <v>8.8666605548539529E-3</v>
      </c>
      <c r="BB11">
        <f>IF(guodubiaoge!$B11="TE0",[5]guodubiaoge!$AD11,
IF(guodubiaoge!$D11="TE0",[5]guodubiaoge!$AE11,
IF(guodubiaoge!$F11="TE0",[5]guodubiaoge!$AF11,
IF(guodubiaoge!$H11="TE0",[5]guodubiaoge!$AG11,""))))</f>
        <v>6.7489520258865799E-4</v>
      </c>
      <c r="BC11">
        <f>IF(guodubiaoge!$B11="TE0+HF+6",[5]guodubiaoge!$AD11,
IF(guodubiaoge!$D11="TE0+HF+6",[5]guodubiaoge!$AE11,
IF(guodubiaoge!$F11="TE0+HF+6",[5]guodubiaoge!$AF11,
IF(guodubiaoge!$H11="TE0+HF+6",[5]guodubiaoge!$AG11,""))))</f>
        <v>-4.9498214529502099E-5</v>
      </c>
      <c r="BD11" t="str">
        <f>IF(guodubiaoge!$B11="TE0+Sim+10",[5]guodubiaoge!$AD11,
IF(guodubiaoge!$D11="TE0+Sim+10",[5]guodubiaoge!$AE11,
IF(guodubiaoge!$F11="TE0+Sim+10",[5]guodubiaoge!$AF11,
IF(guodubiaoge!$H11="TE0+Sim+10",[5]guodubiaoge!$AG11,""))))</f>
        <v/>
      </c>
      <c r="BE11">
        <f>IF(guodubiaoge!$B11="TE0+SL+10",[5]guodubiaoge!$AD11,
IF(guodubiaoge!$D11="TE0+SL+10",[5]guodubiaoge!$AE11,
IF(guodubiaoge!$F11="TE0+SL+10",[5]guodubiaoge!$AF11,
IF(guodubiaoge!$H11="TE0+SL+10",[5]guodubiaoge!$AG11,""))))</f>
        <v>-2.7191536940446097E-4</v>
      </c>
      <c r="BF11">
        <f>IF(guodubiaoge!$B11="TE0",[5]guodubiaoge!$AH11,
IF(guodubiaoge!$D11="TE0",[5]guodubiaoge!$AI11,
IF(guodubiaoge!$F11="TE0",[5]guodubiaoge!$AJ11,
IF(guodubiaoge!$H11="TE0",[5]guodubiaoge!$AK11,""))))</f>
        <v>2.9440677966101499E-2</v>
      </c>
      <c r="BG11">
        <f>IF(guodubiaoge!$B11="TE0+HF+6",[5]guodubiaoge!$AH11,
IF(guodubiaoge!$D11="TE0+HF+6",[5]guodubiaoge!$AI11,
IF(guodubiaoge!$F11="TE0+HF+6",[5]guodubiaoge!$AJ11,
IF(guodubiaoge!$H11="TE0+HF+6",[5]guodubiaoge!$AK11,""))))</f>
        <v>8.8156648451731004E-2</v>
      </c>
      <c r="BH11" t="str">
        <f>IF(guodubiaoge!$B11="TE0+Sim+10",[5]guodubiaoge!$AH11,
IF(guodubiaoge!$D11="TE0+Sim+10",[5]guodubiaoge!$AI11,
IF(guodubiaoge!$F11="TE0+Sim+10",[5]guodubiaoge!$AJ11,
IF(guodubiaoge!$H11="TE0+Sim+10",[5]guodubiaoge!$AK11,""))))</f>
        <v/>
      </c>
      <c r="BI11">
        <f>IF(guodubiaoge!$B11="TE0+SL+10",[5]guodubiaoge!$AH11,
IF(guodubiaoge!$D11="TE0+SL+10",[5]guodubiaoge!$AI11,
IF(guodubiaoge!$F11="TE0+SL+10",[5]guodubiaoge!$AJ11,
IF(guodubiaoge!$H11="TE0+SL+10",[5]guodubiaoge!$AK11,""))))</f>
        <v>-6.4362276692987398E-3</v>
      </c>
      <c r="BJ11">
        <f>IF(guodubiaoge!$B11="TE0",[5]guodubiaoge!$AL11,
IF(guodubiaoge!$D11="TE0",[5]guodubiaoge!$AM11,
IF(guodubiaoge!$F11="TE0",[5]guodubiaoge!$AN11,
IF(guodubiaoge!$H11="TE0",[5]guodubiaoge!$AO11,""))))</f>
        <v>-15.575871925409899</v>
      </c>
      <c r="BK11">
        <f>IF(guodubiaoge!$B11="TE0+HF+6",[5]guodubiaoge!$AL11,
IF(guodubiaoge!$D11="TE0+HF+6",[5]guodubiaoge!$AM11,
IF(guodubiaoge!$F11="TE0+HF+6",[5]guodubiaoge!$AN11,
IF(guodubiaoge!$H11="TE0+HF+6",[5]guodubiaoge!$AO11,""))))</f>
        <v>28.377942939094002</v>
      </c>
      <c r="BL11" t="str">
        <f>IF(guodubiaoge!$B11="TE0+Sim+10",[5]guodubiaoge!$AL11,
IF(guodubiaoge!$D11="TE0+Sim+10",[5]guodubiaoge!$AM11,
IF(guodubiaoge!$F11="TE0+Sim+10",[5]guodubiaoge!$AN11,
IF(guodubiaoge!$H11="TE0+Sim+10",[5]guodubiaoge!$AO11,""))))</f>
        <v/>
      </c>
      <c r="BM11">
        <f>IF(guodubiaoge!$B11="TE0+SL+10",[5]guodubiaoge!$AL11,
IF(guodubiaoge!$D11="TE0+SL+10",[5]guodubiaoge!$AM11,
IF(guodubiaoge!$F11="TE0+SL+10",[5]guodubiaoge!$AN11,
IF(guodubiaoge!$H11="TE0+SL+10",[5]guodubiaoge!$AO11,""))))</f>
        <v>15.7014509268155</v>
      </c>
      <c r="BN11">
        <f>IF(guodubiaoge!$B11="TE0",[5]guodubiaoge!$AP11,
IF(guodubiaoge!$D11="TE0",[5]guodubiaoge!$AQ11,
IF(guodubiaoge!$F11="TE0",[5]guodubiaoge!$AR11,
IF(guodubiaoge!$H11="TE0",[5]guodubiaoge!$AS11,""))))</f>
        <v>-211.25518360501599</v>
      </c>
      <c r="BO11">
        <f>IF(guodubiaoge!$B11="TE0+HF+6",[5]guodubiaoge!$AP11,
IF(guodubiaoge!$D11="TE0+HF+6",[5]guodubiaoge!$AQ11,
IF(guodubiaoge!$F11="TE0+HF+6",[5]guodubiaoge!$AR11,
IF(guodubiaoge!$H11="TE0+HF+6",[5]guodubiaoge!$AS11,""))))</f>
        <v>385.964116598244</v>
      </c>
      <c r="BP11" t="str">
        <f>IF(guodubiaoge!$B11="TE0+Sim+10",[5]guodubiaoge!$AP11,
IF(guodubiaoge!$D11="TE0+Sim+10",[5]guodubiaoge!$AQ11,
IF(guodubiaoge!$F11="TE0+Sim+10",[5]guodubiaoge!$AR11,
IF(guodubiaoge!$H11="TE0+Sim+10",[5]guodubiaoge!$AS11,""))))</f>
        <v/>
      </c>
      <c r="BQ11">
        <f>IF(guodubiaoge!$B11="TE0+SL+10",[5]guodubiaoge!$AP11,
IF(guodubiaoge!$D11="TE0+SL+10",[5]guodubiaoge!$AQ11,
IF(guodubiaoge!$F11="TE0+SL+10",[5]guodubiaoge!$AR11,
IF(guodubiaoge!$H11="TE0+SL+10",[5]guodubiaoge!$AS11,""))))</f>
        <v>-65.752579136516204</v>
      </c>
      <c r="BR11">
        <f t="shared" si="22"/>
        <v>0.43374255430380021</v>
      </c>
      <c r="BS11" s="26">
        <f t="shared" si="23"/>
        <v>0.13930508082800419</v>
      </c>
      <c r="BT11" s="26" t="str">
        <f t="shared" si="24"/>
        <v/>
      </c>
      <c r="BU11" s="26">
        <f t="shared" si="25"/>
        <v>-0.76384859046649223</v>
      </c>
      <c r="BV11" s="26">
        <f t="shared" si="26"/>
        <v>0.46822019015376187</v>
      </c>
      <c r="BW11">
        <f t="shared" si="27"/>
        <v>1.6168378585372418</v>
      </c>
      <c r="BX11" t="str">
        <f t="shared" si="28"/>
        <v/>
      </c>
      <c r="BY11">
        <f t="shared" si="29"/>
        <v>-0.33839491507654934</v>
      </c>
      <c r="BZ11">
        <f t="shared" si="30"/>
        <v>0.15843480541018237</v>
      </c>
      <c r="CA11">
        <f t="shared" si="31"/>
        <v>2.7427102352855042E-2</v>
      </c>
      <c r="CB11" t="str">
        <f t="shared" si="32"/>
        <v/>
      </c>
      <c r="CC11">
        <f t="shared" si="33"/>
        <v>0.25411993195895732</v>
      </c>
      <c r="CD11">
        <f t="shared" si="34"/>
        <v>-1.290224288888369</v>
      </c>
      <c r="CE11">
        <f t="shared" si="35"/>
        <v>1.947838088434299</v>
      </c>
      <c r="CF11" t="str">
        <f t="shared" si="36"/>
        <v/>
      </c>
      <c r="CG11">
        <f t="shared" si="37"/>
        <v>-0.31925809332411387</v>
      </c>
      <c r="CH11">
        <f t="shared" si="38"/>
        <v>0.90196274445756208</v>
      </c>
      <c r="CI11">
        <f t="shared" si="39"/>
        <v>1.7561429393652461</v>
      </c>
      <c r="CJ11" t="str">
        <f t="shared" si="40"/>
        <v/>
      </c>
      <c r="CK11">
        <f t="shared" si="41"/>
        <v>-1.1022435055430415</v>
      </c>
      <c r="CL11">
        <f t="shared" si="42"/>
        <v>0.19738257099657699</v>
      </c>
      <c r="CM11">
        <f t="shared" si="43"/>
        <v>6.4013343404558679E-2</v>
      </c>
      <c r="CN11" t="str">
        <f t="shared" si="44"/>
        <v/>
      </c>
      <c r="CO11">
        <f t="shared" si="45"/>
        <v>0.54354683850039109</v>
      </c>
      <c r="CP11">
        <f>IF(AA11="","",(AA11-AVERAGE($AA$2:AA$26))/_xlfn.STDEV.S($AA$2:$AA$26))</f>
        <v>3.8947765586394616E-2</v>
      </c>
      <c r="CQ11">
        <f>IF(L11="","",(L11-AVERAGE($L$2:L$26))/_xlfn.STDEV.S($L$2:$L$26))</f>
        <v>-1.2518247486325449</v>
      </c>
      <c r="CR11">
        <f t="shared" si="46"/>
        <v>-2.5420490375209139</v>
      </c>
      <c r="CS11">
        <f>IF(B11="","",(B11-AVERAGE($B$2:B$26))/_xlfn.STDEV.S($B$2:$B$26))</f>
        <v>4.4606079950200401</v>
      </c>
      <c r="CT11">
        <f>IF(G11="","",(G11-AVERAGE($G$2:G$26))/_xlfn.STDEV.S($G$2:$G$26))</f>
        <v>2.1340329935411009</v>
      </c>
      <c r="CU11">
        <f t="shared" si="47"/>
        <v>6.5946409885611406</v>
      </c>
    </row>
    <row r="12" spans="1:99">
      <c r="A12">
        <v>11</v>
      </c>
      <c r="B12" s="21">
        <f>IF(guodubiaoge!$B12="Te0",[5]guodubiaoge!$C12,
IF(guodubiaoge!$D12="Te0",[5]guodubiaoge!$E12,
IF(guodubiaoge!$F12="Te0",[5]guodubiaoge!$G12,
IF(guodubiaoge!$H12="Te0",[5]guodubiaoge!$I12,""))))</f>
        <v>-2.4885855246489102E-4</v>
      </c>
      <c r="C12">
        <f>IF(guodubiaoge!$B12="Te0+HF+6",[5]guodubiaoge!$C12,
IF(guodubiaoge!$D12="Te0+HF+6",[5]guodubiaoge!$E12,
IF(guodubiaoge!$F12="Te0+HF+6",[5]guodubiaoge!$G12,
IF(guodubiaoge!$H12="Te0+HF+6",[5]guodubiaoge!$I12,""))))</f>
        <v>1.2717906196961001E-3</v>
      </c>
      <c r="D12">
        <f>IF(guodubiaoge!$B12="Te0+Sim+10",[5]guodubiaoge!$C12,
IF(guodubiaoge!$D12="Te0+Sim+10",[5]guodubiaoge!$E12,
IF(guodubiaoge!$F12="Te0+Sim+10",[5]guodubiaoge!$G12,
IF(guodubiaoge!$H12="Te0+Sim+10",[5]guodubiaoge!$I12,""))))</f>
        <v>-2.1169598761644499E-3</v>
      </c>
      <c r="E12" t="str">
        <f>IF(guodubiaoge!$B12="Te0+SL+10",[5]guodubiaoge!$C12,
IF(guodubiaoge!$D12="Te0+SL+10",[5]guodubiaoge!$E12,
IF(guodubiaoge!$F12="Te0+SL+10",[5]guodubiaoge!$G12,
IF(guodubiaoge!$H12="Te0+SL+10",[5]guodubiaoge!$I12,""))))</f>
        <v/>
      </c>
      <c r="F12">
        <f>IF(guodubiaoge!$B12="Te0-10",[5]guodubiaoge!$C12,
IF(guodubiaoge!$D12="Te0-10",[5]guodubiaoge!$E12,
IF(guodubiaoge!$F12="Te0-10",[5]guodubiaoge!$G12,
IF(guodubiaoge!$H12="Te0-10",[5]guodubiaoge!$I12,""))))</f>
        <v>-1.0983658621333901E-3</v>
      </c>
      <c r="G12">
        <f>IF(guodubiaoge!$B12="Te0",[5]guodubiaoge!$J12,
IF(guodubiaoge!$D12="Te0",[5]guodubiaoge!$K12,
IF(guodubiaoge!$F12="Te0",[5]guodubiaoge!$L12,
IF(guodubiaoge!$H12="Te0",[5]guodubiaoge!$M12,""))))</f>
        <v>-8.43133640553001E-3</v>
      </c>
      <c r="H12">
        <f>IF(guodubiaoge!$B12="Te0+HF+6",[5]guodubiaoge!$J12,
IF(guodubiaoge!$D12="Te0+HF+6",[5]guodubiaoge!$K12,
IF(guodubiaoge!$F12="Te0+HF+6",[5]guodubiaoge!$L12,
IF(guodubiaoge!$H12="Te0+HF+6",[5]guodubiaoge!$M12,""))))</f>
        <v>4.0909090909092199E-2</v>
      </c>
      <c r="I12">
        <f>IF(guodubiaoge!$B12="Te0+Sim+10",[5]guodubiaoge!$J12,
IF(guodubiaoge!$D12="Te0+Sim+10",[5]guodubiaoge!$K12,
IF(guodubiaoge!$F12="Te0+Sim+10",[5]guodubiaoge!$L12,
IF(guodubiaoge!$H12="Te0+Sim+10",[5]guodubiaoge!$M12,""))))</f>
        <v>1.2818785578747501E-2</v>
      </c>
      <c r="J12" t="str">
        <f>IF(guodubiaoge!$B12="Te0+SL+10",[5]guodubiaoge!$J12,
IF(guodubiaoge!$D12="Te0+SL+10",[5]guodubiaoge!$K12,
IF(guodubiaoge!$F12="Te0+SL+10",[5]guodubiaoge!$L12,
IF(guodubiaoge!$H12="Te0+SL+10",[5]guodubiaoge!$M12,""))))</f>
        <v/>
      </c>
      <c r="K12">
        <f>IF(guodubiaoge!$B12="Te0-10",[5]guodubiaoge!$J12,
IF(guodubiaoge!$D12="Te0-10",[5]guodubiaoge!$K12,
IF(guodubiaoge!$F12="Te0-10",[5]guodubiaoge!$L12,
IF(guodubiaoge!$H12="Te0-10",[5]guodubiaoge!$M12,""))))</f>
        <v>5.3927889713679802E-2</v>
      </c>
      <c r="L12">
        <f>IF(guodubiaoge!$B12="Te0",[5]guodubiaoge!$N12,
IF(guodubiaoge!$D12="Te0",[5]guodubiaoge!$O12,
IF(guodubiaoge!$F12="Te0",[5]guodubiaoge!$P12,
IF(guodubiaoge!$H12="Te0",[5]guodubiaoge!$Q12,""))))</f>
        <v>-53.478998556593197</v>
      </c>
      <c r="M12">
        <f>IF(guodubiaoge!$B12="Te0+HF+6",[5]guodubiaoge!$N12,
IF(guodubiaoge!$D12="Te0+HF+6",[5]guodubiaoge!$O12,
IF(guodubiaoge!$F12="Te0+HF+6",[5]guodubiaoge!$P12,
IF(guodubiaoge!$H12="Te0+HF+6",[5]guodubiaoge!$Q12,""))))</f>
        <v>-66.711776745109802</v>
      </c>
      <c r="N12">
        <f>IF(guodubiaoge!$B12="Te0+Sim+10",[5]guodubiaoge!$N12,
IF(guodubiaoge!$D12="Te0+Sim+10",[5]guodubiaoge!$O12,
IF(guodubiaoge!$F12="Te0+Sim+10",[5]guodubiaoge!$P12,
IF(guodubiaoge!$H12="Te0+Sim+10",[5]guodubiaoge!$Q12,""))))</f>
        <v>666.993424683802</v>
      </c>
      <c r="O12" t="str">
        <f>IF(guodubiaoge!$B12="Te0+SL+10",[5]guodubiaoge!$N12,
IF(guodubiaoge!$D12="Te0+SL+10",[5]guodubiaoge!$O12,
IF(guodubiaoge!$F12="Te0+SL+10",[5]guodubiaoge!$P12,
IF(guodubiaoge!$H12="Te0+SL+10",[5]guodubiaoge!$Q12,""))))</f>
        <v/>
      </c>
      <c r="P12">
        <f>IF(guodubiaoge!$B12="Te0-10",[5]guodubiaoge!$N12,
IF(guodubiaoge!$D12="Te0-10",[5]guodubiaoge!$O12,
IF(guodubiaoge!$F12="Te0-10",[5]guodubiaoge!$P12,
IF(guodubiaoge!$H12="Te0-10",[5]guodubiaoge!$Q12,""))))</f>
        <v>-43.330893334170497</v>
      </c>
      <c r="Q12">
        <f>IF(guodubiaoge!$B12="Te0",[5]guodubiaoge!$R12,
IF(guodubiaoge!$D12="Te0",[5]guodubiaoge!$S12,
IF(guodubiaoge!$F12="Te0",[5]guodubiaoge!$T12,
IF(guodubiaoge!$H12="Te0",[5]guodubiaoge!$U12,""))))</f>
        <v>5</v>
      </c>
      <c r="R12">
        <f>IF(guodubiaoge!$B12="Te0+HF+6",[5]guodubiaoge!$R12,
IF(guodubiaoge!$D12="Te0+HF+6",[5]guodubiaoge!$S12,
IF(guodubiaoge!$F12="Te0+HF+6",[5]guodubiaoge!$T12,
IF(guodubiaoge!$H12="Te0+HF+6",[5]guodubiaoge!$U12,""))))</f>
        <v>4</v>
      </c>
      <c r="S12">
        <f>IF(guodubiaoge!$B12="Te0+Sim+10",[5]guodubiaoge!$R12,
IF(guodubiaoge!$D12="Te0+Sim+10",[5]guodubiaoge!$S12,
IF(guodubiaoge!$F12="Te0+Sim+10",[5]guodubiaoge!$T12,
IF(guodubiaoge!$H12="Te0+Sim+10",[5]guodubiaoge!$U12,""))))</f>
        <v>4</v>
      </c>
      <c r="T12" t="str">
        <f>IF(guodubiaoge!$B12="Te0+SL+10",[5]guodubiaoge!$R12,
IF(guodubiaoge!$D12="Te0+SL+10",[5]guodubiaoge!$S12,
IF(guodubiaoge!$F12="Te0+SL+10",[5]guodubiaoge!$T12,
IF(guodubiaoge!$H12="Te0+SL+10",[5]guodubiaoge!$U12,""))))</f>
        <v/>
      </c>
      <c r="U12">
        <f>IF(guodubiaoge!$B12="Te0-10",[5]guodubiaoge!$R12,
IF(guodubiaoge!$D12="Te0-10",[5]guodubiaoge!$S12,
IF(guodubiaoge!$F12="Te0-10",[5]guodubiaoge!$T12,
IF(guodubiaoge!$H12="Te0-10",[5]guodubiaoge!$U12,""))))</f>
        <v>4</v>
      </c>
      <c r="V12">
        <f>IF(guodubiaoge!$B12="Te0",[5]guodubiaoge!$V12,
IF(guodubiaoge!$D12="Te0",[5]guodubiaoge!$W12,
IF(guodubiaoge!$F12="Te0",[5]guodubiaoge!$X12,
IF(guodubiaoge!$H12="Te0",[5]guodubiaoge!$Y12,""))))</f>
        <v>5</v>
      </c>
      <c r="W12">
        <f>IF(guodubiaoge!$B12="Te0+HF+6",[5]guodubiaoge!$V12,
IF(guodubiaoge!$D12="Te0+HF+6",[5]guodubiaoge!$W12,
IF(guodubiaoge!$F12="Te0+HF+6",[5]guodubiaoge!$X12,
IF(guodubiaoge!$H12="Te0+HF+6",[5]guodubiaoge!$Y12,""))))</f>
        <v>5</v>
      </c>
      <c r="X12">
        <f>IF(guodubiaoge!$B12="Te0+Sim+10",[5]guodubiaoge!$V12,
IF(guodubiaoge!$D12="Te0+Sim+10",[5]guodubiaoge!$W12,
IF(guodubiaoge!$F12="Te0+Sim+10",[5]guodubiaoge!$X12,
IF(guodubiaoge!$H12="Te0+Sim+10",[5]guodubiaoge!$Y12,""))))</f>
        <v>5</v>
      </c>
      <c r="Y12" t="str">
        <f>IF(guodubiaoge!$B12="Te0+SL+10",[5]guodubiaoge!$U12,
IF(guodubiaoge!$D12="Te0+SL+10",[5]guodubiaoge!$W12,
IF(guodubiaoge!$F12="Te0+SL+10",[5]guodubiaoge!$X12,
IF(guodubiaoge!$H12="Te0+SL+10",[5]guodubiaoge!$Y12,""))))</f>
        <v/>
      </c>
      <c r="Z12">
        <f>IF(guodubiaoge!$B12="Te0-10",[5]guodubiaoge!$U12,
IF(guodubiaoge!$D12="Te0-10",[5]guodubiaoge!$W12,
IF(guodubiaoge!$F12="Te0-10",[5]guodubiaoge!$X12,
IF(guodubiaoge!$H12="Te0-10",[5]guodubiaoge!$Y12,""))))</f>
        <v>5</v>
      </c>
      <c r="AA12">
        <f>IF(guodubiaoge!$B12="Te0",[5]guodubiaoge!$Z12,
IF(guodubiaoge!$D12="Te0",[5]guodubiaoge!$AA12,
IF(guodubiaoge!$F12="Te0",[5]guodubiaoge!$AB12,
IF(guodubiaoge!$H12="Te0",[5]guodubiaoge!$AC12,""))))</f>
        <v>-178.19010209050199</v>
      </c>
      <c r="AB12">
        <f>IF(guodubiaoge!$B12="Te0+HF+6",[5]guodubiaoge!$Z12,
IF(guodubiaoge!$D12="Te0+HF+6",[5]guodubiaoge!$AA12,
IF(guodubiaoge!$F12="Te0+HF+6",[5]guodubiaoge!$AB12,
IF(guodubiaoge!$H12="Te0+HF+6",[5]guodubiaoge!$AC12,""))))</f>
        <v>-8.2623641453070604</v>
      </c>
      <c r="AC12">
        <f>IF(guodubiaoge!$B12="Te0+Sim+10",[5]guodubiaoge!$Z12,
IF(guodubiaoge!$D12="Te0+Sim+10",[5]guodubiaoge!$AA12,
IF(guodubiaoge!$F12="Te0+Sim+10",[5]guodubiaoge!$AB12,
IF(guodubiaoge!$H12="Te0+Sim+10",[5]guodubiaoge!$AC12,""))))</f>
        <v>-0.43970850166370201</v>
      </c>
      <c r="AD12" t="str">
        <f>IF(guodubiaoge!$B12="Te0+SL+10",[5]guodubiaoge!$Z12,
IF(guodubiaoge!$D12="Te0+SL+10",[5]guodubiaoge!$AA12,
IF(guodubiaoge!$F12="Te0+SL+10",[5]guodubiaoge!$AB12,
IF(guodubiaoge!$H12="Te0+SL+10",[5]guodubiaoge!$AC12,""))))</f>
        <v/>
      </c>
      <c r="AE12">
        <f>IF(guodubiaoge!$B12="Te0-10",[5]guodubiaoge!$Z12,
IF(guodubiaoge!$D12="Te0-10",[5]guodubiaoge!$AA12,
IF(guodubiaoge!$F12="Te0-10",[5]guodubiaoge!$AB12,
IF(guodubiaoge!$H12="Te0-10",[5]guodubiaoge!$AC12,""))))</f>
        <v>145.53930433138299</v>
      </c>
      <c r="AF12">
        <f t="shared" si="0"/>
        <v>0.13886803853104915</v>
      </c>
      <c r="AG12">
        <f t="shared" si="1"/>
        <v>-8.8843141979885479E-2</v>
      </c>
      <c r="AH12" t="str">
        <f t="shared" si="2"/>
        <v/>
      </c>
      <c r="AI12">
        <f t="shared" si="3"/>
        <v>1.4202579607093735</v>
      </c>
      <c r="AJ12">
        <f t="shared" si="4"/>
        <v>0.12886047425561831</v>
      </c>
      <c r="AK12" t="str">
        <f t="shared" si="5"/>
        <v/>
      </c>
      <c r="AL12">
        <f t="shared" si="6"/>
        <v>1.5591259992404227</v>
      </c>
      <c r="AM12">
        <f t="shared" si="7"/>
        <v>4.0017332275732828E-2</v>
      </c>
      <c r="AN12" t="str">
        <f t="shared" si="8"/>
        <v/>
      </c>
      <c r="AO12">
        <f t="shared" si="9"/>
        <v>-0.33004954742228026</v>
      </c>
      <c r="AP12">
        <f t="shared" si="10"/>
        <v>1.413687117298617</v>
      </c>
      <c r="AQ12" t="str">
        <f t="shared" si="11"/>
        <v/>
      </c>
      <c r="AR12">
        <f t="shared" si="12"/>
        <v>-9.0359809635404825E-2</v>
      </c>
      <c r="AS12">
        <f t="shared" si="13"/>
        <v>-0.14778466862809872</v>
      </c>
      <c r="AT12" t="str">
        <f t="shared" si="14"/>
        <v/>
      </c>
      <c r="AU12">
        <f t="shared" si="15"/>
        <v>-0.69732115739876344</v>
      </c>
      <c r="AV12">
        <f t="shared" si="16"/>
        <v>-0.44702657835190274</v>
      </c>
      <c r="AW12" t="str">
        <f t="shared" si="17"/>
        <v/>
      </c>
      <c r="AX12" s="21">
        <f t="shared" si="18"/>
        <v>2.9515908332357343E-2</v>
      </c>
      <c r="AY12">
        <f t="shared" si="19"/>
        <v>3.108821514812591E-2</v>
      </c>
      <c r="AZ12">
        <f t="shared" si="20"/>
        <v>-0.16514511949354987</v>
      </c>
      <c r="BA12" t="str">
        <f t="shared" si="21"/>
        <v/>
      </c>
      <c r="BB12">
        <f>IF(guodubiaoge!$B12="TE0",[5]guodubiaoge!$AD12,
IF(guodubiaoge!$D12="TE0",[5]guodubiaoge!$AE12,
IF(guodubiaoge!$F12="TE0",[5]guodubiaoge!$AF12,
IF(guodubiaoge!$H12="TE0",[5]guodubiaoge!$AG12,""))))</f>
        <v>1.58318096429919E-3</v>
      </c>
      <c r="BC12">
        <f>IF(guodubiaoge!$B12="TE0+HF+6",[5]guodubiaoge!$AD12,
IF(guodubiaoge!$D12="TE0+HF+6",[5]guodubiaoge!$AE12,
IF(guodubiaoge!$F12="TE0+HF+6",[5]guodubiaoge!$AF12,
IF(guodubiaoge!$H12="TE0+HF+6",[5]guodubiaoge!$AG12,""))))</f>
        <v>-1.63564563041711E-3</v>
      </c>
      <c r="BD12">
        <f>IF(guodubiaoge!$B12="TE0+Sim+10",[5]guodubiaoge!$AD12,
IF(guodubiaoge!$D12="TE0+Sim+10",[5]guodubiaoge!$AE12,
IF(guodubiaoge!$F12="TE0+Sim+10",[5]guodubiaoge!$AF12,
IF(guodubiaoge!$H12="TE0+Sim+10",[5]guodubiaoge!$AG12,""))))</f>
        <v>8.4985713610797101E-4</v>
      </c>
      <c r="BE12" t="str">
        <f>IF(guodubiaoge!$B12="TE0+SL+10",[5]guodubiaoge!$AD12,
IF(guodubiaoge!$D12="TE0+SL+10",[5]guodubiaoge!$AE12,
IF(guodubiaoge!$F12="TE0+SL+10",[5]guodubiaoge!$AF12,
IF(guodubiaoge!$H12="TE0+SL+10",[5]guodubiaoge!$AG12,""))))</f>
        <v/>
      </c>
      <c r="BF12">
        <f>IF(guodubiaoge!$B12="TE0",[5]guodubiaoge!$AH12,
IF(guodubiaoge!$D12="TE0",[5]guodubiaoge!$AI12,
IF(guodubiaoge!$F12="TE0",[5]guodubiaoge!$AJ12,
IF(guodubiaoge!$H12="TE0",[5]guodubiaoge!$AK12,""))))</f>
        <v>-2.5532956685499399E-2</v>
      </c>
      <c r="BG12">
        <f>IF(guodubiaoge!$B12="TE0+HF+6",[5]guodubiaoge!$AH12,
IF(guodubiaoge!$D12="TE0+HF+6",[5]guodubiaoge!$AI12,
IF(guodubiaoge!$F12="TE0+HF+6",[5]guodubiaoge!$AJ12,
IF(guodubiaoge!$H12="TE0+HF+6",[5]guodubiaoge!$AK12,""))))</f>
        <v>3.2945033751203799E-3</v>
      </c>
      <c r="BH12">
        <f>IF(guodubiaoge!$B12="TE0+Sim+10",[5]guodubiaoge!$AH12,
IF(guodubiaoge!$D12="TE0+Sim+10",[5]guodubiaoge!$AI12,
IF(guodubiaoge!$F12="TE0+Sim+10",[5]guodubiaoge!$AJ12,
IF(guodubiaoge!$H12="TE0+Sim+10",[5]guodubiaoge!$AK12,""))))</f>
        <v>-4.21317633866004E-2</v>
      </c>
      <c r="BI12" t="str">
        <f>IF(guodubiaoge!$B12="TE0+SL+10",[5]guodubiaoge!$AH12,
IF(guodubiaoge!$D12="TE0+SL+10",[5]guodubiaoge!$AI12,
IF(guodubiaoge!$F12="TE0+SL+10",[5]guodubiaoge!$AJ12,
IF(guodubiaoge!$H12="TE0+SL+10",[5]guodubiaoge!$AK12,""))))</f>
        <v/>
      </c>
      <c r="BJ12">
        <f>IF(guodubiaoge!$B12="TE0",[5]guodubiaoge!$AL12,
IF(guodubiaoge!$D12="TE0",[5]guodubiaoge!$AM12,
IF(guodubiaoge!$F12="TE0",[5]guodubiaoge!$AN12,
IF(guodubiaoge!$H12="TE0",[5]guodubiaoge!$AO12,""))))</f>
        <v>-242.18774488279999</v>
      </c>
      <c r="BK12">
        <f>IF(guodubiaoge!$B12="TE0+HF+6",[5]guodubiaoge!$AL12,
IF(guodubiaoge!$D12="TE0+HF+6",[5]guodubiaoge!$AM12,
IF(guodubiaoge!$F12="TE0+HF+6",[5]guodubiaoge!$AN12,
IF(guodubiaoge!$H12="TE0+HF+6",[5]guodubiaoge!$AO12,""))))</f>
        <v>-22.133377034082599</v>
      </c>
      <c r="BL12">
        <f>IF(guodubiaoge!$B12="TE0+Sim+10",[5]guodubiaoge!$AL12,
IF(guodubiaoge!$D12="TE0+Sim+10",[5]guodubiaoge!$AM12,
IF(guodubiaoge!$F12="TE0+Sim+10",[5]guodubiaoge!$AN12,
IF(guodubiaoge!$H12="TE0+Sim+10",[5]guodubiaoge!$AO12,""))))</f>
        <v>-31.403810044039101</v>
      </c>
      <c r="BM12" t="str">
        <f>IF(guodubiaoge!$B12="TE0+SL+10",[5]guodubiaoge!$AL12,
IF(guodubiaoge!$D12="TE0+SL+10",[5]guodubiaoge!$AM12,
IF(guodubiaoge!$F12="TE0+SL+10",[5]guodubiaoge!$AN12,
IF(guodubiaoge!$H12="TE0+SL+10",[5]guodubiaoge!$AO12,""))))</f>
        <v/>
      </c>
      <c r="BN12">
        <f>IF(guodubiaoge!$B12="TE0",[5]guodubiaoge!$AP12,
IF(guodubiaoge!$D12="TE0",[5]guodubiaoge!$AQ12,
IF(guodubiaoge!$F12="TE0",[5]guodubiaoge!$AR12,
IF(guodubiaoge!$H12="TE0",[5]guodubiaoge!$AS12,""))))</f>
        <v>-70.418767451542806</v>
      </c>
      <c r="BO12">
        <f>IF(guodubiaoge!$B12="TE0+HF+6",[5]guodubiaoge!$AP12,
IF(guodubiaoge!$D12="TE0+HF+6",[5]guodubiaoge!$AQ12,
IF(guodubiaoge!$F12="TE0+HF+6",[5]guodubiaoge!$AR12,
IF(guodubiaoge!$H12="TE0+HF+6",[5]guodubiaoge!$AS12,""))))</f>
        <v>-43.644450427625401</v>
      </c>
      <c r="BP12">
        <f>IF(guodubiaoge!$B12="TE0+Sim+10",[5]guodubiaoge!$AP12,
IF(guodubiaoge!$D12="TE0+Sim+10",[5]guodubiaoge!$AQ12,
IF(guodubiaoge!$F12="TE0+Sim+10",[5]guodubiaoge!$AR12,
IF(guodubiaoge!$H12="TE0+Sim+10",[5]guodubiaoge!$AS12,""))))</f>
        <v>-418.71033009975503</v>
      </c>
      <c r="BQ12" t="str">
        <f>IF(guodubiaoge!$B12="TE0+SL+10",[5]guodubiaoge!$AP12,
IF(guodubiaoge!$D12="TE0+SL+10",[5]guodubiaoge!$AQ12,
IF(guodubiaoge!$F12="TE0+SL+10",[5]guodubiaoge!$AR12,
IF(guodubiaoge!$H12="TE0+SL+10",[5]guodubiaoge!$AS12,""))))</f>
        <v/>
      </c>
      <c r="BR12">
        <f t="shared" si="22"/>
        <v>0.60798520833828618</v>
      </c>
      <c r="BS12" s="26">
        <f t="shared" si="23"/>
        <v>-3.8062776047225813E-2</v>
      </c>
      <c r="BT12" s="26">
        <f t="shared" si="24"/>
        <v>-0.29785471945938991</v>
      </c>
      <c r="BU12" s="26" t="str">
        <f t="shared" si="25"/>
        <v/>
      </c>
      <c r="BV12" s="26">
        <f t="shared" si="26"/>
        <v>-2.1323386843164194E-2</v>
      </c>
      <c r="BW12">
        <f t="shared" si="27"/>
        <v>8.9461850913933411E-2</v>
      </c>
      <c r="BX12">
        <f t="shared" si="28"/>
        <v>0.21609890975201285</v>
      </c>
      <c r="BY12" t="str">
        <f t="shared" si="29"/>
        <v/>
      </c>
      <c r="BZ12">
        <f t="shared" si="30"/>
        <v>-0.96471689055055154</v>
      </c>
      <c r="CA12">
        <f t="shared" si="31"/>
        <v>-0.17527466324397789</v>
      </c>
      <c r="CB12">
        <f t="shared" si="32"/>
        <v>6.3623762668573891E-2</v>
      </c>
      <c r="CC12" t="str">
        <f t="shared" si="33"/>
        <v/>
      </c>
      <c r="CD12">
        <f t="shared" si="34"/>
        <v>-0.39009073446940901</v>
      </c>
      <c r="CE12">
        <f t="shared" si="35"/>
        <v>-0.36727160997648317</v>
      </c>
      <c r="CF12">
        <f t="shared" si="36"/>
        <v>-1.8607136956505197</v>
      </c>
      <c r="CG12" t="str">
        <f t="shared" si="37"/>
        <v/>
      </c>
      <c r="CH12">
        <f t="shared" si="38"/>
        <v>0.58666182149512203</v>
      </c>
      <c r="CI12">
        <f t="shared" si="39"/>
        <v>5.1399074866707598E-2</v>
      </c>
      <c r="CJ12">
        <f t="shared" si="40"/>
        <v>-8.1755809707377058E-2</v>
      </c>
      <c r="CK12" t="str">
        <f t="shared" si="41"/>
        <v/>
      </c>
      <c r="CL12">
        <f t="shared" si="42"/>
        <v>-1.9094563776415621</v>
      </c>
      <c r="CM12">
        <f t="shared" si="43"/>
        <v>-0.26563447287938269</v>
      </c>
      <c r="CN12">
        <f t="shared" si="44"/>
        <v>-8.4160905959524829E-2</v>
      </c>
      <c r="CO12" t="str">
        <f t="shared" si="45"/>
        <v/>
      </c>
      <c r="CP12">
        <f>IF(AA12="","",(AA12-AVERAGE($AA$2:AA$26))/_xlfn.STDEV.S($AA$2:$AA$26))</f>
        <v>-0.94473948709101063</v>
      </c>
      <c r="CQ12">
        <f>IF(L12="","",(L12-AVERAGE($L$2:L$26))/_xlfn.STDEV.S($L$2:$L$26))</f>
        <v>-5.2428079564657955E-2</v>
      </c>
      <c r="CR12">
        <f t="shared" si="46"/>
        <v>-0.44251881403406695</v>
      </c>
      <c r="CS12">
        <f>IF(B12="","",(B12-AVERAGE($B$2:B$26))/_xlfn.STDEV.S($B$2:$B$26))</f>
        <v>-0.11596876177996195</v>
      </c>
      <c r="CT12">
        <f>IF(G12="","",(G12-AVERAGE($G$2:G$26))/_xlfn.STDEV.S($G$2:$G$26))</f>
        <v>-0.41993043582481787</v>
      </c>
      <c r="CU12">
        <f t="shared" si="47"/>
        <v>-0.53589919760477978</v>
      </c>
    </row>
    <row r="13" spans="1:99">
      <c r="A13">
        <v>12</v>
      </c>
      <c r="B13" s="21">
        <f>IF(guodubiaoge!$B13="Te0",[5]guodubiaoge!$C13,
IF(guodubiaoge!$D13="Te0",[5]guodubiaoge!$E13,
IF(guodubiaoge!$F13="Te0",[5]guodubiaoge!$G13,
IF(guodubiaoge!$H13="Te0",[5]guodubiaoge!$I13,""))))</f>
        <v>3.35369839455799E-3</v>
      </c>
      <c r="C13">
        <f>IF(guodubiaoge!$B13="Te0+HF+6",[5]guodubiaoge!$C13,
IF(guodubiaoge!$D13="Te0+HF+6",[5]guodubiaoge!$E13,
IF(guodubiaoge!$F13="Te0+HF+6",[5]guodubiaoge!$G13,
IF(guodubiaoge!$H13="Te0+HF+6",[5]guodubiaoge!$I13,""))))</f>
        <v>-5.7562789173234996E-4</v>
      </c>
      <c r="D13" t="str">
        <f>IF(guodubiaoge!$B13="Te0+Sim+10",[5]guodubiaoge!$C13,
IF(guodubiaoge!$D13="Te0+Sim+10",[5]guodubiaoge!$E13,
IF(guodubiaoge!$F13="Te0+Sim+10",[5]guodubiaoge!$G13,
IF(guodubiaoge!$H13="Te0+Sim+10",[5]guodubiaoge!$I13,""))))</f>
        <v/>
      </c>
      <c r="E13">
        <f>IF(guodubiaoge!$B13="Te0+SL+10",[5]guodubiaoge!$C13,
IF(guodubiaoge!$D13="Te0+SL+10",[5]guodubiaoge!$E13,
IF(guodubiaoge!$F13="Te0+SL+10",[5]guodubiaoge!$G13,
IF(guodubiaoge!$H13="Te0+SL+10",[5]guodubiaoge!$I13,""))))</f>
        <v>5.1392291638175597E-3</v>
      </c>
      <c r="F13">
        <f>IF(guodubiaoge!$B13="Te0-10",[5]guodubiaoge!$C13,
IF(guodubiaoge!$D13="Te0-10",[5]guodubiaoge!$E13,
IF(guodubiaoge!$F13="Te0-10",[5]guodubiaoge!$G13,
IF(guodubiaoge!$H13="Te0-10",[5]guodubiaoge!$I13,""))))</f>
        <v>2.1117298608588301E-3</v>
      </c>
      <c r="G13">
        <f>IF(guodubiaoge!$B13="Te0",[5]guodubiaoge!$J13,
IF(guodubiaoge!$D13="Te0",[5]guodubiaoge!$K13,
IF(guodubiaoge!$F13="Te0",[5]guodubiaoge!$L13,
IF(guodubiaoge!$H13="Te0",[5]guodubiaoge!$M13,""))))</f>
        <v>-9.3080952380952001E-2</v>
      </c>
      <c r="H13">
        <f>IF(guodubiaoge!$B13="Te0+HF+6",[5]guodubiaoge!$J13,
IF(guodubiaoge!$D13="Te0+HF+6",[5]guodubiaoge!$K13,
IF(guodubiaoge!$F13="Te0+HF+6",[5]guodubiaoge!$L13,
IF(guodubiaoge!$H13="Te0+HF+6",[5]guodubiaoge!$M13,""))))</f>
        <v>-5.68045918367346E-2</v>
      </c>
      <c r="I13" t="str">
        <f>IF(guodubiaoge!$B13="Te0+Sim+10",[5]guodubiaoge!$J13,
IF(guodubiaoge!$D13="Te0+Sim+10",[5]guodubiaoge!$K13,
IF(guodubiaoge!$F13="Te0+Sim+10",[5]guodubiaoge!$L13,
IF(guodubiaoge!$H13="Te0+Sim+10",[5]guodubiaoge!$M13,""))))</f>
        <v/>
      </c>
      <c r="J13">
        <f>IF(guodubiaoge!$B13="Te0+SL+10",[5]guodubiaoge!$J13,
IF(guodubiaoge!$D13="Te0+SL+10",[5]guodubiaoge!$K13,
IF(guodubiaoge!$F13="Te0+SL+10",[5]guodubiaoge!$L13,
IF(guodubiaoge!$H13="Te0+SL+10",[5]guodubiaoge!$M13,""))))</f>
        <v>-1.7004288164666301E-2</v>
      </c>
      <c r="K13">
        <f>IF(guodubiaoge!$B13="Te0-10",[5]guodubiaoge!$J13,
IF(guodubiaoge!$D13="Te0-10",[5]guodubiaoge!$K13,
IF(guodubiaoge!$F13="Te0-10",[5]guodubiaoge!$L13,
IF(guodubiaoge!$H13="Te0-10",[5]guodubiaoge!$M13,""))))</f>
        <v>4.1346798780488803E-2</v>
      </c>
      <c r="L13">
        <f>IF(guodubiaoge!$B13="Te0",[5]guodubiaoge!$N13,
IF(guodubiaoge!$D13="Te0",[5]guodubiaoge!$O13,
IF(guodubiaoge!$F13="Te0",[5]guodubiaoge!$P13,
IF(guodubiaoge!$H13="Te0",[5]guodubiaoge!$Q13,""))))</f>
        <v>16.423536637068501</v>
      </c>
      <c r="M13">
        <f>IF(guodubiaoge!$B13="Te0+HF+6",[5]guodubiaoge!$N13,
IF(guodubiaoge!$D13="Te0+HF+6",[5]guodubiaoge!$O13,
IF(guodubiaoge!$F13="Te0+HF+6",[5]guodubiaoge!$P13,
IF(guodubiaoge!$H13="Te0+HF+6",[5]guodubiaoge!$Q13,""))))</f>
        <v>120.853295310231</v>
      </c>
      <c r="N13" t="str">
        <f>IF(guodubiaoge!$B13="Te0+Sim+10",[5]guodubiaoge!$N13,
IF(guodubiaoge!$D13="Te0+Sim+10",[5]guodubiaoge!$O13,
IF(guodubiaoge!$F13="Te0+Sim+10",[5]guodubiaoge!$P13,
IF(guodubiaoge!$H13="Te0+Sim+10",[5]guodubiaoge!$Q13,""))))</f>
        <v/>
      </c>
      <c r="O13">
        <f>IF(guodubiaoge!$B13="Te0+SL+10",[5]guodubiaoge!$N13,
IF(guodubiaoge!$D13="Te0+SL+10",[5]guodubiaoge!$O13,
IF(guodubiaoge!$F13="Te0+SL+10",[5]guodubiaoge!$P13,
IF(guodubiaoge!$H13="Te0+SL+10",[5]guodubiaoge!$Q13,""))))</f>
        <v>346.83431656014801</v>
      </c>
      <c r="P13">
        <f>IF(guodubiaoge!$B13="Te0-10",[5]guodubiaoge!$N13,
IF(guodubiaoge!$D13="Te0-10",[5]guodubiaoge!$O13,
IF(guodubiaoge!$F13="Te0-10",[5]guodubiaoge!$P13,
IF(guodubiaoge!$H13="Te0-10",[5]guodubiaoge!$Q13,""))))</f>
        <v>-270.45633863247201</v>
      </c>
      <c r="Q13">
        <f>IF(guodubiaoge!$B13="Te0",[5]guodubiaoge!$R13,
IF(guodubiaoge!$D13="Te0",[5]guodubiaoge!$S13,
IF(guodubiaoge!$F13="Te0",[5]guodubiaoge!$T13,
IF(guodubiaoge!$H13="Te0",[5]guodubiaoge!$U13,""))))</f>
        <v>7</v>
      </c>
      <c r="R13">
        <f>IF(guodubiaoge!$B13="Te0+HF+6",[5]guodubiaoge!$R13,
IF(guodubiaoge!$D13="Te0+HF+6",[5]guodubiaoge!$S13,
IF(guodubiaoge!$F13="Te0+HF+6",[5]guodubiaoge!$T13,
IF(guodubiaoge!$H13="Te0+HF+6",[5]guodubiaoge!$U13,""))))</f>
        <v>7</v>
      </c>
      <c r="S13" t="str">
        <f>IF(guodubiaoge!$B13="Te0+Sim+10",[5]guodubiaoge!$R13,
IF(guodubiaoge!$D13="Te0+Sim+10",[5]guodubiaoge!$S13,
IF(guodubiaoge!$F13="Te0+Sim+10",[5]guodubiaoge!$T13,
IF(guodubiaoge!$H13="Te0+Sim+10",[5]guodubiaoge!$U13,""))))</f>
        <v/>
      </c>
      <c r="T13">
        <f>IF(guodubiaoge!$B13="Te0+SL+10",[5]guodubiaoge!$R13,
IF(guodubiaoge!$D13="Te0+SL+10",[5]guodubiaoge!$S13,
IF(guodubiaoge!$F13="Te0+SL+10",[5]guodubiaoge!$T13,
IF(guodubiaoge!$H13="Te0+SL+10",[5]guodubiaoge!$U13,""))))</f>
        <v>5</v>
      </c>
      <c r="U13">
        <f>IF(guodubiaoge!$B13="Te0-10",[5]guodubiaoge!$R13,
IF(guodubiaoge!$D13="Te0-10",[5]guodubiaoge!$S13,
IF(guodubiaoge!$F13="Te0-10",[5]guodubiaoge!$T13,
IF(guodubiaoge!$H13="Te0-10",[5]guodubiaoge!$U13,""))))</f>
        <v>6</v>
      </c>
      <c r="V13">
        <f>IF(guodubiaoge!$B13="Te0",[5]guodubiaoge!$V13,
IF(guodubiaoge!$D13="Te0",[5]guodubiaoge!$W13,
IF(guodubiaoge!$F13="Te0",[5]guodubiaoge!$X13,
IF(guodubiaoge!$H13="Te0",[5]guodubiaoge!$Y13,""))))</f>
        <v>7</v>
      </c>
      <c r="W13">
        <f>IF(guodubiaoge!$B13="Te0+HF+6",[5]guodubiaoge!$V13,
IF(guodubiaoge!$D13="Te0+HF+6",[5]guodubiaoge!$W13,
IF(guodubiaoge!$F13="Te0+HF+6",[5]guodubiaoge!$X13,
IF(guodubiaoge!$H13="Te0+HF+6",[5]guodubiaoge!$Y13,""))))</f>
        <v>7</v>
      </c>
      <c r="X13" t="str">
        <f>IF(guodubiaoge!$B13="Te0+Sim+10",[5]guodubiaoge!$V13,
IF(guodubiaoge!$D13="Te0+Sim+10",[5]guodubiaoge!$W13,
IF(guodubiaoge!$F13="Te0+Sim+10",[5]guodubiaoge!$X13,
IF(guodubiaoge!$H13="Te0+Sim+10",[5]guodubiaoge!$Y13,""))))</f>
        <v/>
      </c>
      <c r="Y13">
        <f>IF(guodubiaoge!$B13="Te0+SL+10",[5]guodubiaoge!$U13,
IF(guodubiaoge!$D13="Te0+SL+10",[5]guodubiaoge!$W13,
IF(guodubiaoge!$F13="Te0+SL+10",[5]guodubiaoge!$X13,
IF(guodubiaoge!$H13="Te0+SL+10",[5]guodubiaoge!$Y13,""))))</f>
        <v>7</v>
      </c>
      <c r="Z13">
        <f>IF(guodubiaoge!$B13="Te0-10",[5]guodubiaoge!$U13,
IF(guodubiaoge!$D13="Te0-10",[5]guodubiaoge!$W13,
IF(guodubiaoge!$F13="Te0-10",[5]guodubiaoge!$X13,
IF(guodubiaoge!$H13="Te0-10",[5]guodubiaoge!$Y13,""))))</f>
        <v>5</v>
      </c>
      <c r="AA13">
        <f>IF(guodubiaoge!$B13="Te0",[5]guodubiaoge!$Z13,
IF(guodubiaoge!$D13="Te0",[5]guodubiaoge!$AA13,
IF(guodubiaoge!$F13="Te0",[5]guodubiaoge!$AB13,
IF(guodubiaoge!$H13="Te0",[5]guodubiaoge!$AC13,""))))</f>
        <v>-66.261620655267294</v>
      </c>
      <c r="AB13">
        <f>IF(guodubiaoge!$B13="Te0+HF+6",[5]guodubiaoge!$Z13,
IF(guodubiaoge!$D13="Te0+HF+6",[5]guodubiaoge!$AA13,
IF(guodubiaoge!$F13="Te0+HF+6",[5]guodubiaoge!$AB13,
IF(guodubiaoge!$H13="Te0+HF+6",[5]guodubiaoge!$AC13,""))))</f>
        <v>28.739273373306901</v>
      </c>
      <c r="AC13" t="str">
        <f>IF(guodubiaoge!$B13="Te0+Sim+10",[5]guodubiaoge!$Z13,
IF(guodubiaoge!$D13="Te0+Sim+10",[5]guodubiaoge!$AA13,
IF(guodubiaoge!$F13="Te0+Sim+10",[5]guodubiaoge!$AB13,
IF(guodubiaoge!$H13="Te0+Sim+10",[5]guodubiaoge!$AC13,""))))</f>
        <v/>
      </c>
      <c r="AD13">
        <f>IF(guodubiaoge!$B13="Te0+SL+10",[5]guodubiaoge!$Z13,
IF(guodubiaoge!$D13="Te0+SL+10",[5]guodubiaoge!$AA13,
IF(guodubiaoge!$F13="Te0+SL+10",[5]guodubiaoge!$AB13,
IF(guodubiaoge!$H13="Te0+SL+10",[5]guodubiaoge!$AC13,""))))</f>
        <v>66.029036577652107</v>
      </c>
      <c r="AE13">
        <f>IF(guodubiaoge!$B13="Te0-10",[5]guodubiaoge!$Z13,
IF(guodubiaoge!$D13="Te0-10",[5]guodubiaoge!$AA13,
IF(guodubiaoge!$F13="Te0-10",[5]guodubiaoge!$AB13,
IF(guodubiaoge!$H13="Te0-10",[5]guodubiaoge!$AC13,""))))</f>
        <v>627.85149063594702</v>
      </c>
      <c r="AF13">
        <f t="shared" si="0"/>
        <v>-0.41284179341615451</v>
      </c>
      <c r="AG13" t="str">
        <f t="shared" si="1"/>
        <v/>
      </c>
      <c r="AH13">
        <f t="shared" si="2"/>
        <v>1.9343792036335006</v>
      </c>
      <c r="AI13">
        <f t="shared" si="3"/>
        <v>-1.0221697852768674</v>
      </c>
      <c r="AJ13" t="str">
        <f t="shared" si="4"/>
        <v/>
      </c>
      <c r="AK13">
        <f t="shared" si="5"/>
        <v>0.22280173406794934</v>
      </c>
      <c r="AL13">
        <f t="shared" si="6"/>
        <v>-1.435011578693022</v>
      </c>
      <c r="AM13" t="str">
        <f t="shared" si="7"/>
        <v/>
      </c>
      <c r="AN13">
        <f t="shared" si="8"/>
        <v>2.1571809377014501</v>
      </c>
      <c r="AO13">
        <f t="shared" si="9"/>
        <v>0.42165735295416529</v>
      </c>
      <c r="AP13" t="str">
        <f t="shared" si="10"/>
        <v/>
      </c>
      <c r="AQ13">
        <f t="shared" si="11"/>
        <v>1.2321915000055943</v>
      </c>
      <c r="AR13">
        <f t="shared" si="12"/>
        <v>0.14275520883087733</v>
      </c>
      <c r="AS13" t="str">
        <f t="shared" si="13"/>
        <v/>
      </c>
      <c r="AT13">
        <f t="shared" si="14"/>
        <v>0.99010322668054229</v>
      </c>
      <c r="AU13">
        <f t="shared" si="15"/>
        <v>0.89153715971947567</v>
      </c>
      <c r="AV13" t="str">
        <f t="shared" si="16"/>
        <v/>
      </c>
      <c r="AW13">
        <f t="shared" si="17"/>
        <v>2.5286225060587828</v>
      </c>
      <c r="AX13" s="21">
        <f t="shared" si="18"/>
        <v>-3.6029910618365003E-2</v>
      </c>
      <c r="AY13">
        <f t="shared" si="19"/>
        <v>1.0133474656182652E-2</v>
      </c>
      <c r="AZ13" t="str">
        <f t="shared" si="20"/>
        <v/>
      </c>
      <c r="BA13">
        <f t="shared" si="21"/>
        <v>-0.3022313615277652</v>
      </c>
      <c r="BB13">
        <f>IF(guodubiaoge!$B13="TE0",[5]guodubiaoge!$AD13,
IF(guodubiaoge!$D13="TE0",[5]guodubiaoge!$AE13,
IF(guodubiaoge!$F13="TE0",[5]guodubiaoge!$AF13,
IF(guodubiaoge!$H13="TE0",[5]guodubiaoge!$AG13,""))))</f>
        <v>3.8430426737483098E-3</v>
      </c>
      <c r="BC13">
        <f>IF(guodubiaoge!$B13="TE0+HF+6",[5]guodubiaoge!$AD13,
IF(guodubiaoge!$D13="TE0+HF+6",[5]guodubiaoge!$AE13,
IF(guodubiaoge!$F13="TE0+HF+6",[5]guodubiaoge!$AF13,
IF(guodubiaoge!$H13="TE0+HF+6",[5]guodubiaoge!$AG13,""))))</f>
        <v>2.7209142836849402E-3</v>
      </c>
      <c r="BD13" t="str">
        <f>IF(guodubiaoge!$B13="TE0+Sim+10",[5]guodubiaoge!$AD13,
IF(guodubiaoge!$D13="TE0+Sim+10",[5]guodubiaoge!$AE13,
IF(guodubiaoge!$F13="TE0+Sim+10",[5]guodubiaoge!$AF13,
IF(guodubiaoge!$H13="TE0+Sim+10",[5]guodubiaoge!$AG13,""))))</f>
        <v/>
      </c>
      <c r="BE13">
        <f>IF(guodubiaoge!$B13="TE0+SL+10",[5]guodubiaoge!$AD13,
IF(guodubiaoge!$D13="TE0+SL+10",[5]guodubiaoge!$AE13,
IF(guodubiaoge!$F13="TE0+SL+10",[5]guodubiaoge!$AF13,
IF(guodubiaoge!$H13="TE0+SL+10",[5]guodubiaoge!$AG13,""))))</f>
        <v>1.0972878608702899E-3</v>
      </c>
      <c r="BF13">
        <f>IF(guodubiaoge!$B13="TE0",[5]guodubiaoge!$AH13,
IF(guodubiaoge!$D13="TE0",[5]guodubiaoge!$AI13,
IF(guodubiaoge!$F13="TE0",[5]guodubiaoge!$AJ13,
IF(guodubiaoge!$H13="TE0",[5]guodubiaoge!$AK13,""))))</f>
        <v>-9.6431784107945395E-3</v>
      </c>
      <c r="BG13">
        <f>IF(guodubiaoge!$B13="TE0+HF+6",[5]guodubiaoge!$AH13,
IF(guodubiaoge!$D13="TE0+HF+6",[5]guodubiaoge!$AI13,
IF(guodubiaoge!$F13="TE0+HF+6",[5]guodubiaoge!$AJ13,
IF(guodubiaoge!$H13="TE0+HF+6",[5]guodubiaoge!$AK13,""))))</f>
        <v>2.75889271371197E-2</v>
      </c>
      <c r="BH13" t="str">
        <f>IF(guodubiaoge!$B13="TE0+Sim+10",[5]guodubiaoge!$AH13,
IF(guodubiaoge!$D13="TE0+Sim+10",[5]guodubiaoge!$AI13,
IF(guodubiaoge!$F13="TE0+Sim+10",[5]guodubiaoge!$AJ13,
IF(guodubiaoge!$H13="TE0+Sim+10",[5]guodubiaoge!$AK13,""))))</f>
        <v/>
      </c>
      <c r="BI13">
        <f>IF(guodubiaoge!$B13="TE0+SL+10",[5]guodubiaoge!$AH13,
IF(guodubiaoge!$D13="TE0+SL+10",[5]guodubiaoge!$AI13,
IF(guodubiaoge!$F13="TE0+SL+10",[5]guodubiaoge!$AJ13,
IF(guodubiaoge!$H13="TE0+SL+10",[5]guodubiaoge!$AK13,""))))</f>
        <v>3.37948350071648E-3</v>
      </c>
      <c r="BJ13">
        <f>IF(guodubiaoge!$B13="TE0",[5]guodubiaoge!$AL13,
IF(guodubiaoge!$D13="TE0",[5]guodubiaoge!$AM13,
IF(guodubiaoge!$F13="TE0",[5]guodubiaoge!$AN13,
IF(guodubiaoge!$H13="TE0",[5]guodubiaoge!$AO13,""))))</f>
        <v>-98.213022835221196</v>
      </c>
      <c r="BK13">
        <f>IF(guodubiaoge!$B13="TE0+HF+6",[5]guodubiaoge!$AL13,
IF(guodubiaoge!$D13="TE0+HF+6",[5]guodubiaoge!$AM13,
IF(guodubiaoge!$F13="TE0+HF+6",[5]guodubiaoge!$AN13,
IF(guodubiaoge!$H13="TE0+HF+6",[5]guodubiaoge!$AO13,""))))</f>
        <v>20.748621015918499</v>
      </c>
      <c r="BL13" t="str">
        <f>IF(guodubiaoge!$B13="TE0+Sim+10",[5]guodubiaoge!$AL13,
IF(guodubiaoge!$D13="TE0+Sim+10",[5]guodubiaoge!$AM13,
IF(guodubiaoge!$F13="TE0+Sim+10",[5]guodubiaoge!$AN13,
IF(guodubiaoge!$H13="TE0+Sim+10",[5]guodubiaoge!$AO13,""))))</f>
        <v/>
      </c>
      <c r="BM13">
        <f>IF(guodubiaoge!$B13="TE0+SL+10",[5]guodubiaoge!$AL13,
IF(guodubiaoge!$D13="TE0+SL+10",[5]guodubiaoge!$AM13,
IF(guodubiaoge!$F13="TE0+SL+10",[5]guodubiaoge!$AN13,
IF(guodubiaoge!$H13="TE0+SL+10",[5]guodubiaoge!$AO13,""))))</f>
        <v>102.089209227669</v>
      </c>
      <c r="BN13">
        <f>IF(guodubiaoge!$B13="TE0",[5]guodubiaoge!$AP13,
IF(guodubiaoge!$D13="TE0",[5]guodubiaoge!$AQ13,
IF(guodubiaoge!$F13="TE0",[5]guodubiaoge!$AR13,
IF(guodubiaoge!$H13="TE0",[5]guodubiaoge!$AS13,""))))</f>
        <v>-1.0163399288427499</v>
      </c>
      <c r="BO13">
        <f>IF(guodubiaoge!$B13="TE0+HF+6",[5]guodubiaoge!$AP13,
IF(guodubiaoge!$D13="TE0+HF+6",[5]guodubiaoge!$AQ13,
IF(guodubiaoge!$F13="TE0+HF+6",[5]guodubiaoge!$AR13,
IF(guodubiaoge!$H13="TE0+HF+6",[5]guodubiaoge!$AS13,""))))</f>
        <v>111.703445517435</v>
      </c>
      <c r="BP13" t="str">
        <f>IF(guodubiaoge!$B13="TE0+Sim+10",[5]guodubiaoge!$AP13,
IF(guodubiaoge!$D13="TE0+Sim+10",[5]guodubiaoge!$AQ13,
IF(guodubiaoge!$F13="TE0+Sim+10",[5]guodubiaoge!$AR13,
IF(guodubiaoge!$H13="TE0+Sim+10",[5]guodubiaoge!$AS13,""))))</f>
        <v/>
      </c>
      <c r="BQ13">
        <f>IF(guodubiaoge!$B13="TE0+SL+10",[5]guodubiaoge!$AP13,
IF(guodubiaoge!$D13="TE0+SL+10",[5]guodubiaoge!$AQ13,
IF(guodubiaoge!$F13="TE0+SL+10",[5]guodubiaoge!$AR13,
IF(guodubiaoge!$H13="TE0+SL+10",[5]guodubiaoge!$AS13,""))))</f>
        <v>262.93823481308698</v>
      </c>
      <c r="BR13">
        <f t="shared" si="22"/>
        <v>1.0415098969382344</v>
      </c>
      <c r="BS13" s="26">
        <f t="shared" si="23"/>
        <v>0.44910108247749164</v>
      </c>
      <c r="BT13" s="26" t="str">
        <f t="shared" si="24"/>
        <v/>
      </c>
      <c r="BU13" s="26">
        <f t="shared" si="25"/>
        <v>-0.19450463440645827</v>
      </c>
      <c r="BV13" s="26">
        <f t="shared" si="26"/>
        <v>0.12017606000231622</v>
      </c>
      <c r="BW13">
        <f t="shared" si="27"/>
        <v>0.52672065387740652</v>
      </c>
      <c r="BX13" t="str">
        <f t="shared" si="28"/>
        <v/>
      </c>
      <c r="BY13">
        <f t="shared" si="29"/>
        <v>-0.12681001731109021</v>
      </c>
      <c r="BZ13">
        <f t="shared" si="30"/>
        <v>-0.25113798079228428</v>
      </c>
      <c r="CA13">
        <f t="shared" si="31"/>
        <v>-3.1893421383112287E-3</v>
      </c>
      <c r="CB13" t="str">
        <f t="shared" si="32"/>
        <v/>
      </c>
      <c r="CC13">
        <f t="shared" si="33"/>
        <v>0.80419643796727569</v>
      </c>
      <c r="CD13">
        <f t="shared" si="34"/>
        <v>5.3483842884472645E-2</v>
      </c>
      <c r="CE13">
        <f t="shared" si="35"/>
        <v>0.46987980676531033</v>
      </c>
      <c r="CF13" t="str">
        <f t="shared" si="36"/>
        <v/>
      </c>
      <c r="CG13">
        <f t="shared" si="37"/>
        <v>1.2964310060531887</v>
      </c>
      <c r="CH13">
        <f t="shared" si="38"/>
        <v>1.1616859569405507</v>
      </c>
      <c r="CI13">
        <f t="shared" si="39"/>
        <v>0.97582173635489822</v>
      </c>
      <c r="CJ13" t="str">
        <f t="shared" si="40"/>
        <v/>
      </c>
      <c r="CK13">
        <f t="shared" si="41"/>
        <v>-0.32131465171754847</v>
      </c>
      <c r="CL13">
        <f t="shared" si="42"/>
        <v>-0.52455115118373707</v>
      </c>
      <c r="CM13">
        <f t="shared" si="43"/>
        <v>0.1395658666925661</v>
      </c>
      <c r="CN13" t="str">
        <f t="shared" si="44"/>
        <v/>
      </c>
      <c r="CO13">
        <f t="shared" si="45"/>
        <v>1.794299664647818</v>
      </c>
      <c r="CP13">
        <f>IF(AA13="","",(AA13-AVERAGE($AA$2:AA$26))/_xlfn.STDEV.S($AA$2:$AA$26))</f>
        <v>-0.27341317039145274</v>
      </c>
      <c r="CQ13">
        <f>IF(L13="","",(L13-AVERAGE($L$2:L$26))/_xlfn.STDEV.S($L$2:$L$26))</f>
        <v>0.2522791069134136</v>
      </c>
      <c r="CR13">
        <f t="shared" si="46"/>
        <v>0.30576294979788626</v>
      </c>
      <c r="CS13">
        <f>IF(B13="","",(B13-AVERAGE($B$2:B$26))/_xlfn.STDEV.S($B$2:$B$26))</f>
        <v>0.12450762046899551</v>
      </c>
      <c r="CT13">
        <f>IF(G13="","",(G13-AVERAGE($G$2:G$26))/_xlfn.STDEV.S($G$2:$G$26))</f>
        <v>-1.6066163377761511</v>
      </c>
      <c r="CU13">
        <f t="shared" si="47"/>
        <v>-1.4821087173071557</v>
      </c>
    </row>
    <row r="14" spans="1:99">
      <c r="A14">
        <v>13</v>
      </c>
      <c r="B14" s="21">
        <f>IF(guodubiaoge!$B14="Te0",[5]guodubiaoge!$C14,
IF(guodubiaoge!$D14="Te0",[5]guodubiaoge!$E14,
IF(guodubiaoge!$F14="Te0",[5]guodubiaoge!$G14,
IF(guodubiaoge!$H14="Te0",[5]guodubiaoge!$I14,""))))</f>
        <v>-5.38138038171602E-5</v>
      </c>
      <c r="C14">
        <f>IF(guodubiaoge!$B14="Te0+HF+6",[5]guodubiaoge!$C14,
IF(guodubiaoge!$D14="Te0+HF+6",[5]guodubiaoge!$E14,
IF(guodubiaoge!$F14="Te0+HF+6",[5]guodubiaoge!$G14,
IF(guodubiaoge!$H14="Te0+HF+6",[5]guodubiaoge!$I14,""))))</f>
        <v>-1.9612615091950001E-5</v>
      </c>
      <c r="D14">
        <f>IF(guodubiaoge!$B14="Te0+Sim+10",[5]guodubiaoge!$C14,
IF(guodubiaoge!$D14="Te0+Sim+10",[5]guodubiaoge!$E14,
IF(guodubiaoge!$F14="Te0+Sim+10",[5]guodubiaoge!$G14,
IF(guodubiaoge!$H14="Te0+Sim+10",[5]guodubiaoge!$I14,""))))</f>
        <v>4.6929892268061902E-4</v>
      </c>
      <c r="E14" t="str">
        <f>IF(guodubiaoge!$B14="Te0+SL+10",[5]guodubiaoge!$C14,
IF(guodubiaoge!$D14="Te0+SL+10",[5]guodubiaoge!$E14,
IF(guodubiaoge!$F14="Te0+SL+10",[5]guodubiaoge!$G14,
IF(guodubiaoge!$H14="Te0+SL+10",[5]guodubiaoge!$I14,""))))</f>
        <v/>
      </c>
      <c r="F14">
        <f>IF(guodubiaoge!$B14="Te0-10",[5]guodubiaoge!$C14,
IF(guodubiaoge!$D14="Te0-10",[5]guodubiaoge!$E14,
IF(guodubiaoge!$F14="Te0-10",[5]guodubiaoge!$G14,
IF(guodubiaoge!$H14="Te0-10",[5]guodubiaoge!$I14,""))))</f>
        <v>1.3592357409581699E-3</v>
      </c>
      <c r="G14">
        <f>IF(guodubiaoge!$B14="Te0",[5]guodubiaoge!$J14,
IF(guodubiaoge!$D14="Te0",[5]guodubiaoge!$K14,
IF(guodubiaoge!$F14="Te0",[5]guodubiaoge!$L14,
IF(guodubiaoge!$H14="Te0",[5]guodubiaoge!$M14,""))))</f>
        <v>-1.37968253968261E-2</v>
      </c>
      <c r="H14">
        <f>IF(guodubiaoge!$B14="Te0+HF+6",[5]guodubiaoge!$J14,
IF(guodubiaoge!$D14="Te0+HF+6",[5]guodubiaoge!$K14,
IF(guodubiaoge!$F14="Te0+HF+6",[5]guodubiaoge!$L14,
IF(guodubiaoge!$H14="Te0+HF+6",[5]guodubiaoge!$M14,""))))</f>
        <v>1.2846889952147201E-3</v>
      </c>
      <c r="I14">
        <f>IF(guodubiaoge!$B14="Te0+Sim+10",[5]guodubiaoge!$J14,
IF(guodubiaoge!$D14="Te0+Sim+10",[5]guodubiaoge!$K14,
IF(guodubiaoge!$F14="Te0+Sim+10",[5]guodubiaoge!$L14,
IF(guodubiaoge!$H14="Te0+Sim+10",[5]guodubiaoge!$M14,""))))</f>
        <v>-7.0391393442623906E-2</v>
      </c>
      <c r="J14" t="str">
        <f>IF(guodubiaoge!$B14="Te0+SL+10",[5]guodubiaoge!$J14,
IF(guodubiaoge!$D14="Te0+SL+10",[5]guodubiaoge!$K14,
IF(guodubiaoge!$F14="Te0+SL+10",[5]guodubiaoge!$L14,
IF(guodubiaoge!$H14="Te0+SL+10",[5]guodubiaoge!$M14,""))))</f>
        <v/>
      </c>
      <c r="K14">
        <f>IF(guodubiaoge!$B14="Te0-10",[5]guodubiaoge!$J14,
IF(guodubiaoge!$D14="Te0-10",[5]guodubiaoge!$K14,
IF(guodubiaoge!$F14="Te0-10",[5]guodubiaoge!$L14,
IF(guodubiaoge!$H14="Te0-10",[5]guodubiaoge!$M14,""))))</f>
        <v>1.7110115236876399E-2</v>
      </c>
      <c r="L14">
        <f>IF(guodubiaoge!$B14="Te0",[5]guodubiaoge!$N14,
IF(guodubiaoge!$D14="Te0",[5]guodubiaoge!$O14,
IF(guodubiaoge!$F14="Te0",[5]guodubiaoge!$P14,
IF(guodubiaoge!$H14="Te0",[5]guodubiaoge!$Q14,""))))</f>
        <v>1.93796884625659</v>
      </c>
      <c r="M14">
        <f>IF(guodubiaoge!$B14="Te0+HF+6",[5]guodubiaoge!$N14,
IF(guodubiaoge!$D14="Te0+HF+6",[5]guodubiaoge!$O14,
IF(guodubiaoge!$F14="Te0+HF+6",[5]guodubiaoge!$P14,
IF(guodubiaoge!$H14="Te0+HF+6",[5]guodubiaoge!$Q14,""))))</f>
        <v>20.5866873526994</v>
      </c>
      <c r="N14">
        <f>IF(guodubiaoge!$B14="Te0+Sim+10",[5]guodubiaoge!$N14,
IF(guodubiaoge!$D14="Te0+Sim+10",[5]guodubiaoge!$O14,
IF(guodubiaoge!$F14="Te0+Sim+10",[5]guodubiaoge!$P14,
IF(guodubiaoge!$H14="Te0+Sim+10",[5]guodubiaoge!$Q14,""))))</f>
        <v>612.19259475983199</v>
      </c>
      <c r="O14" t="str">
        <f>IF(guodubiaoge!$B14="Te0+SL+10",[5]guodubiaoge!$N14,
IF(guodubiaoge!$D14="Te0+SL+10",[5]guodubiaoge!$O14,
IF(guodubiaoge!$F14="Te0+SL+10",[5]guodubiaoge!$P14,
IF(guodubiaoge!$H14="Te0+SL+10",[5]guodubiaoge!$Q14,""))))</f>
        <v/>
      </c>
      <c r="P14">
        <f>IF(guodubiaoge!$B14="Te0-10",[5]guodubiaoge!$N14,
IF(guodubiaoge!$D14="Te0-10",[5]guodubiaoge!$O14,
IF(guodubiaoge!$F14="Te0-10",[5]guodubiaoge!$P14,
IF(guodubiaoge!$H14="Te0-10",[5]guodubiaoge!$Q14,""))))</f>
        <v>-6.3979087283230598</v>
      </c>
      <c r="Q14">
        <f>IF(guodubiaoge!$B14="Te0",[5]guodubiaoge!$R14,
IF(guodubiaoge!$D14="Te0",[5]guodubiaoge!$S14,
IF(guodubiaoge!$F14="Te0",[5]guodubiaoge!$T14,
IF(guodubiaoge!$H14="Te0",[5]guodubiaoge!$U14,""))))</f>
        <v>6</v>
      </c>
      <c r="R14">
        <f>IF(guodubiaoge!$B14="Te0+HF+6",[5]guodubiaoge!$R14,
IF(guodubiaoge!$D14="Te0+HF+6",[5]guodubiaoge!$S14,
IF(guodubiaoge!$F14="Te0+HF+6",[5]guodubiaoge!$T14,
IF(guodubiaoge!$H14="Te0+HF+6",[5]guodubiaoge!$U14,""))))</f>
        <v>6</v>
      </c>
      <c r="S14">
        <f>IF(guodubiaoge!$B14="Te0+Sim+10",[5]guodubiaoge!$R14,
IF(guodubiaoge!$D14="Te0+Sim+10",[5]guodubiaoge!$S14,
IF(guodubiaoge!$F14="Te0+Sim+10",[5]guodubiaoge!$T14,
IF(guodubiaoge!$H14="Te0+Sim+10",[5]guodubiaoge!$U14,""))))</f>
        <v>6</v>
      </c>
      <c r="T14" t="str">
        <f>IF(guodubiaoge!$B14="Te0+SL+10",[5]guodubiaoge!$R14,
IF(guodubiaoge!$D14="Te0+SL+10",[5]guodubiaoge!$S14,
IF(guodubiaoge!$F14="Te0+SL+10",[5]guodubiaoge!$T14,
IF(guodubiaoge!$H14="Te0+SL+10",[5]guodubiaoge!$U14,""))))</f>
        <v/>
      </c>
      <c r="U14">
        <f>IF(guodubiaoge!$B14="Te0-10",[5]guodubiaoge!$R14,
IF(guodubiaoge!$D14="Te0-10",[5]guodubiaoge!$S14,
IF(guodubiaoge!$F14="Te0-10",[5]guodubiaoge!$T14,
IF(guodubiaoge!$H14="Te0-10",[5]guodubiaoge!$U14,""))))</f>
        <v>6</v>
      </c>
      <c r="V14">
        <f>IF(guodubiaoge!$B14="Te0",[5]guodubiaoge!$V14,
IF(guodubiaoge!$D14="Te0",[5]guodubiaoge!$W14,
IF(guodubiaoge!$F14="Te0",[5]guodubiaoge!$X14,
IF(guodubiaoge!$H14="Te0",[5]guodubiaoge!$Y14,""))))</f>
        <v>7</v>
      </c>
      <c r="W14">
        <f>IF(guodubiaoge!$B14="Te0+HF+6",[5]guodubiaoge!$V14,
IF(guodubiaoge!$D14="Te0+HF+6",[5]guodubiaoge!$W14,
IF(guodubiaoge!$F14="Te0+HF+6",[5]guodubiaoge!$X14,
IF(guodubiaoge!$H14="Te0+HF+6",[5]guodubiaoge!$Y14,""))))</f>
        <v>7</v>
      </c>
      <c r="X14">
        <f>IF(guodubiaoge!$B14="Te0+Sim+10",[5]guodubiaoge!$V14,
IF(guodubiaoge!$D14="Te0+Sim+10",[5]guodubiaoge!$W14,
IF(guodubiaoge!$F14="Te0+Sim+10",[5]guodubiaoge!$X14,
IF(guodubiaoge!$H14="Te0+Sim+10",[5]guodubiaoge!$Y14,""))))</f>
        <v>8</v>
      </c>
      <c r="Y14" t="str">
        <f>IF(guodubiaoge!$B14="Te0+SL+10",[5]guodubiaoge!$U14,
IF(guodubiaoge!$D14="Te0+SL+10",[5]guodubiaoge!$W14,
IF(guodubiaoge!$F14="Te0+SL+10",[5]guodubiaoge!$X14,
IF(guodubiaoge!$H14="Te0+SL+10",[5]guodubiaoge!$Y14,""))))</f>
        <v/>
      </c>
      <c r="Z14">
        <f>IF(guodubiaoge!$B14="Te0-10",[5]guodubiaoge!$U14,
IF(guodubiaoge!$D14="Te0-10",[5]guodubiaoge!$W14,
IF(guodubiaoge!$F14="Te0-10",[5]guodubiaoge!$X14,
IF(guodubiaoge!$H14="Te0-10",[5]guodubiaoge!$Y14,""))))</f>
        <v>7</v>
      </c>
      <c r="AA14">
        <f>IF(guodubiaoge!$B14="Te0",[5]guodubiaoge!$Z14,
IF(guodubiaoge!$D14="Te0",[5]guodubiaoge!$AA14,
IF(guodubiaoge!$F14="Te0",[5]guodubiaoge!$AB14,
IF(guodubiaoge!$H14="Te0",[5]guodubiaoge!$AC14,""))))</f>
        <v>511.82887765345902</v>
      </c>
      <c r="AB14">
        <f>IF(guodubiaoge!$B14="Te0+HF+6",[5]guodubiaoge!$Z14,
IF(guodubiaoge!$D14="Te0+HF+6",[5]guodubiaoge!$AA14,
IF(guodubiaoge!$F14="Te0+HF+6",[5]guodubiaoge!$AB14,
IF(guodubiaoge!$H14="Te0+HF+6",[5]guodubiaoge!$AC14,""))))</f>
        <v>-10.0913855301153</v>
      </c>
      <c r="AC14">
        <f>IF(guodubiaoge!$B14="Te0+Sim+10",[5]guodubiaoge!$Z14,
IF(guodubiaoge!$D14="Te0+Sim+10",[5]guodubiaoge!$AA14,
IF(guodubiaoge!$F14="Te0+Sim+10",[5]guodubiaoge!$AB14,
IF(guodubiaoge!$H14="Te0+Sim+10",[5]guodubiaoge!$AC14,""))))</f>
        <v>-30.345461226940301</v>
      </c>
      <c r="AD14" t="str">
        <f>IF(guodubiaoge!$B14="Te0+SL+10",[5]guodubiaoge!$Z14,
IF(guodubiaoge!$D14="Te0+SL+10",[5]guodubiaoge!$AA14,
IF(guodubiaoge!$F14="Te0+SL+10",[5]guodubiaoge!$AB14,
IF(guodubiaoge!$H14="Te0+SL+10",[5]guodubiaoge!$AC14,""))))</f>
        <v/>
      </c>
      <c r="AE14">
        <f>IF(guodubiaoge!$B14="Te0-10",[5]guodubiaoge!$Z14,
IF(guodubiaoge!$D14="Te0-10",[5]guodubiaoge!$AA14,
IF(guodubiaoge!$F14="Te0-10",[5]guodubiaoge!$AB14,
IF(guodubiaoge!$H14="Te0-10",[5]guodubiaoge!$AC14,""))))</f>
        <v>-14.903580554351301</v>
      </c>
      <c r="AF14">
        <f t="shared" si="0"/>
        <v>-0.24679436402336222</v>
      </c>
      <c r="AG14">
        <f t="shared" si="1"/>
        <v>0.20388036081326877</v>
      </c>
      <c r="AH14" t="str">
        <f t="shared" si="2"/>
        <v/>
      </c>
      <c r="AI14">
        <f t="shared" si="3"/>
        <v>0.42981592707618743</v>
      </c>
      <c r="AJ14">
        <f t="shared" si="4"/>
        <v>-0.23481735418922137</v>
      </c>
      <c r="AK14" t="str">
        <f t="shared" si="5"/>
        <v/>
      </c>
      <c r="AL14">
        <f t="shared" si="6"/>
        <v>0.18302156305282521</v>
      </c>
      <c r="AM14">
        <f t="shared" si="7"/>
        <v>-3.0936993375952598E-2</v>
      </c>
      <c r="AN14" t="str">
        <f t="shared" si="8"/>
        <v/>
      </c>
      <c r="AO14">
        <f t="shared" si="9"/>
        <v>1.9817606070064237E-2</v>
      </c>
      <c r="AP14">
        <f t="shared" si="10"/>
        <v>1.2655753308569482</v>
      </c>
      <c r="AQ14" t="str">
        <f t="shared" si="11"/>
        <v/>
      </c>
      <c r="AR14">
        <f t="shared" si="12"/>
        <v>-0.10188287678831956</v>
      </c>
      <c r="AS14">
        <f t="shared" si="13"/>
        <v>-0.44980209546952737</v>
      </c>
      <c r="AT14" t="str">
        <f t="shared" si="14"/>
        <v/>
      </c>
      <c r="AU14">
        <f t="shared" si="15"/>
        <v>4.2298428514783201E-2</v>
      </c>
      <c r="AV14">
        <f t="shared" si="16"/>
        <v>2.8691123964003884</v>
      </c>
      <c r="AW14" t="str">
        <f t="shared" si="17"/>
        <v/>
      </c>
      <c r="AX14" s="21">
        <f t="shared" si="18"/>
        <v>3.9004482748284859E-3</v>
      </c>
      <c r="AY14">
        <f t="shared" si="19"/>
        <v>-1.5266430369532348E-2</v>
      </c>
      <c r="AZ14">
        <f t="shared" si="20"/>
        <v>-6.666992933775988E-3</v>
      </c>
      <c r="BA14" t="str">
        <f t="shared" si="21"/>
        <v/>
      </c>
      <c r="BB14">
        <f>IF(guodubiaoge!$B14="TE0",[5]guodubiaoge!$AD14,
IF(guodubiaoge!$D14="TE0",[5]guodubiaoge!$AE14,
IF(guodubiaoge!$F14="TE0",[5]guodubiaoge!$AF14,
IF(guodubiaoge!$H14="TE0",[5]guodubiaoge!$AG14,""))))</f>
        <v>-1.8931937873374099E-3</v>
      </c>
      <c r="BC14">
        <f>IF(guodubiaoge!$B14="TE0+HF+6",[5]guodubiaoge!$AD14,
IF(guodubiaoge!$D14="TE0+HF+6",[5]guodubiaoge!$AE14,
IF(guodubiaoge!$F14="TE0+HF+6",[5]guodubiaoge!$AF14,
IF(guodubiaoge!$H14="TE0+HF+6",[5]guodubiaoge!$AG14,""))))</f>
        <v>5.4989495933051996E-4</v>
      </c>
      <c r="BD14">
        <f>IF(guodubiaoge!$B14="TE0+Sim+10",[5]guodubiaoge!$AD14,
IF(guodubiaoge!$D14="TE0+Sim+10",[5]guodubiaoge!$AE14,
IF(guodubiaoge!$F14="TE0+Sim+10",[5]guodubiaoge!$AF14,
IF(guodubiaoge!$H14="TE0+Sim+10",[5]guodubiaoge!$AG14,""))))</f>
        <v>3.5433211446829899E-3</v>
      </c>
      <c r="BE14" t="str">
        <f>IF(guodubiaoge!$B14="TE0+SL+10",[5]guodubiaoge!$AD14,
IF(guodubiaoge!$D14="TE0+SL+10",[5]guodubiaoge!$AE14,
IF(guodubiaoge!$F14="TE0+SL+10",[5]guodubiaoge!$AF14,
IF(guodubiaoge!$H14="TE0+SL+10",[5]guodubiaoge!$AG14,""))))</f>
        <v/>
      </c>
      <c r="BF14">
        <f>IF(guodubiaoge!$B14="TE0",[5]guodubiaoge!$AH14,
IF(guodubiaoge!$D14="TE0",[5]guodubiaoge!$AI14,
IF(guodubiaoge!$F14="TE0",[5]guodubiaoge!$AJ14,
IF(guodubiaoge!$H14="TE0",[5]guodubiaoge!$AK14,""))))</f>
        <v>4.1357099540870702E-3</v>
      </c>
      <c r="BG14">
        <f>IF(guodubiaoge!$B14="TE0+HF+6",[5]guodubiaoge!$AH14,
IF(guodubiaoge!$D14="TE0+HF+6",[5]guodubiaoge!$AI14,
IF(guodubiaoge!$F14="TE0+HF+6",[5]guodubiaoge!$AJ14,
IF(guodubiaoge!$H14="TE0+HF+6",[5]guodubiaoge!$AK14,""))))</f>
        <v>-2.1863354037266702E-2</v>
      </c>
      <c r="BH14">
        <f>IF(guodubiaoge!$B14="TE0+Sim+10",[5]guodubiaoge!$AH14,
IF(guodubiaoge!$D14="TE0+Sim+10",[5]guodubiaoge!$AI14,
IF(guodubiaoge!$F14="TE0+Sim+10",[5]guodubiaoge!$AJ14,
IF(guodubiaoge!$H14="TE0+Sim+10",[5]guodubiaoge!$AK14,""))))</f>
        <v>-2.7311111111110401E-2</v>
      </c>
      <c r="BI14" t="str">
        <f>IF(guodubiaoge!$B14="TE0+SL+10",[5]guodubiaoge!$AH14,
IF(guodubiaoge!$D14="TE0+SL+10",[5]guodubiaoge!$AI14,
IF(guodubiaoge!$F14="TE0+SL+10",[5]guodubiaoge!$AJ14,
IF(guodubiaoge!$H14="TE0+SL+10",[5]guodubiaoge!$AK14,""))))</f>
        <v/>
      </c>
      <c r="BJ14">
        <f>IF(guodubiaoge!$B14="TE0",[5]guodubiaoge!$AL14,
IF(guodubiaoge!$D14="TE0",[5]guodubiaoge!$AM14,
IF(guodubiaoge!$F14="TE0",[5]guodubiaoge!$AN14,
IF(guodubiaoge!$H14="TE0",[5]guodubiaoge!$AO14,""))))</f>
        <v>518.03571305461196</v>
      </c>
      <c r="BK14">
        <f>IF(guodubiaoge!$B14="TE0+HF+6",[5]guodubiaoge!$AL14,
IF(guodubiaoge!$D14="TE0+HF+6",[5]guodubiaoge!$AM14,
IF(guodubiaoge!$F14="TE0+HF+6",[5]guodubiaoge!$AN14,
IF(guodubiaoge!$H14="TE0+HF+6",[5]guodubiaoge!$AO14,""))))</f>
        <v>21.077605431633899</v>
      </c>
      <c r="BL14">
        <f>IF(guodubiaoge!$B14="TE0+Sim+10",[5]guodubiaoge!$AL14,
IF(guodubiaoge!$D14="TE0+Sim+10",[5]guodubiaoge!$AM14,
IF(guodubiaoge!$F14="TE0+Sim+10",[5]guodubiaoge!$AN14,
IF(guodubiaoge!$H14="TE0+Sim+10",[5]guodubiaoge!$AO14,""))))</f>
        <v>-41.247403754579999</v>
      </c>
      <c r="BM14" t="str">
        <f>IF(guodubiaoge!$B14="TE0+SL+10",[5]guodubiaoge!$AL14,
IF(guodubiaoge!$D14="TE0+SL+10",[5]guodubiaoge!$AM14,
IF(guodubiaoge!$F14="TE0+SL+10",[5]guodubiaoge!$AN14,
IF(guodubiaoge!$H14="TE0+SL+10",[5]guodubiaoge!$AO14,""))))</f>
        <v/>
      </c>
      <c r="BN14">
        <f>IF(guodubiaoge!$B14="TE0",[5]guodubiaoge!$AP14,
IF(guodubiaoge!$D14="TE0",[5]guodubiaoge!$AQ14,
IF(guodubiaoge!$F14="TE0",[5]guodubiaoge!$AR14,
IF(guodubiaoge!$H14="TE0",[5]guodubiaoge!$AS14,""))))</f>
        <v>-10.6170893393704</v>
      </c>
      <c r="BO14">
        <f>IF(guodubiaoge!$B14="TE0+HF+6",[5]guodubiaoge!$AP14,
IF(guodubiaoge!$D14="TE0+HF+6",[5]guodubiaoge!$AQ14,
IF(guodubiaoge!$F14="TE0+HF+6",[5]guodubiaoge!$AR14,
IF(guodubiaoge!$H14="TE0+HF+6",[5]guodubiaoge!$AS14,""))))</f>
        <v>28.680841156726</v>
      </c>
      <c r="BP14">
        <f>IF(guodubiaoge!$B14="TE0+Sim+10",[5]guodubiaoge!$AP14,
IF(guodubiaoge!$D14="TE0+Sim+10",[5]guodubiaoge!$AQ14,
IF(guodubiaoge!$F14="TE0+Sim+10",[5]guodubiaoge!$AR14,
IF(guodubiaoge!$H14="TE0+Sim+10",[5]guodubiaoge!$AS14,""))))</f>
        <v>304.94432725985598</v>
      </c>
      <c r="BQ14" t="str">
        <f>IF(guodubiaoge!$B14="TE0+SL+10",[5]guodubiaoge!$AP14,
IF(guodubiaoge!$D14="TE0+SL+10",[5]guodubiaoge!$AQ14,
IF(guodubiaoge!$F14="TE0+SL+10",[5]guodubiaoge!$AR14,
IF(guodubiaoge!$H14="TE0+SL+10",[5]guodubiaoge!$AS14,""))))</f>
        <v/>
      </c>
      <c r="BR14">
        <f t="shared" si="22"/>
        <v>-5.8911476250152271E-2</v>
      </c>
      <c r="BS14" s="26">
        <f t="shared" si="23"/>
        <v>0.20633105937723095</v>
      </c>
      <c r="BT14" s="26">
        <f t="shared" si="24"/>
        <v>-0.28990004043140133</v>
      </c>
      <c r="BU14" s="26" t="str">
        <f t="shared" si="25"/>
        <v/>
      </c>
      <c r="BV14" s="26">
        <f t="shared" si="26"/>
        <v>0.24287790316649266</v>
      </c>
      <c r="BW14">
        <f t="shared" si="27"/>
        <v>-0.36333730682829674</v>
      </c>
      <c r="BX14">
        <f t="shared" si="28"/>
        <v>0.30127168887496275</v>
      </c>
      <c r="BY14" t="str">
        <f t="shared" si="29"/>
        <v/>
      </c>
      <c r="BZ14">
        <f t="shared" si="30"/>
        <v>2.8031627661878531</v>
      </c>
      <c r="CA14">
        <f t="shared" si="31"/>
        <v>-1.8691287296185499E-3</v>
      </c>
      <c r="CB14">
        <f t="shared" si="32"/>
        <v>-5.957581504131565E-2</v>
      </c>
      <c r="CC14" t="str">
        <f t="shared" si="33"/>
        <v/>
      </c>
      <c r="CD14">
        <f t="shared" si="34"/>
        <v>-7.8778200150335376E-3</v>
      </c>
      <c r="CE14">
        <f t="shared" si="35"/>
        <v>2.2480822444718968E-2</v>
      </c>
      <c r="CF14">
        <f t="shared" si="36"/>
        <v>1.6035370655434404</v>
      </c>
      <c r="CG14" t="str">
        <f t="shared" si="37"/>
        <v/>
      </c>
      <c r="CH14">
        <f t="shared" si="38"/>
        <v>0.18396642691634038</v>
      </c>
      <c r="CI14">
        <f t="shared" si="39"/>
        <v>-0.15700624745106578</v>
      </c>
      <c r="CJ14">
        <f t="shared" si="40"/>
        <v>1.1371648443561422E-2</v>
      </c>
      <c r="CK14" t="str">
        <f t="shared" si="41"/>
        <v/>
      </c>
      <c r="CL14">
        <f t="shared" si="42"/>
        <v>5.9970294156621655</v>
      </c>
      <c r="CM14">
        <f t="shared" si="43"/>
        <v>-0.1037520055179381</v>
      </c>
      <c r="CN14">
        <f t="shared" si="44"/>
        <v>-0.50937791051084302</v>
      </c>
      <c r="CO14" t="str">
        <f t="shared" si="45"/>
        <v/>
      </c>
      <c r="CP14">
        <f>IF(AA14="","",(AA14-AVERAGE($AA$2:AA$26))/_xlfn.STDEV.S($AA$2:$AA$26))</f>
        <v>3.1938666494743129</v>
      </c>
      <c r="CQ14">
        <f>IF(L14="","",(L14-AVERAGE($L$2:L$26))/_xlfn.STDEV.S($L$2:$L$26))</f>
        <v>0.18913609509206419</v>
      </c>
      <c r="CR14">
        <f t="shared" si="46"/>
        <v>0.18125827507703066</v>
      </c>
      <c r="CS14">
        <f>IF(B14="","",(B14-AVERAGE($B$2:B$26))/_xlfn.STDEV.S($B$2:$B$26))</f>
        <v>-0.10294921587931372</v>
      </c>
      <c r="CT14">
        <f>IF(G14="","",(G14-AVERAGE($G$2:G$26))/_xlfn.STDEV.S($G$2:$G$26))</f>
        <v>-0.49514814437171606</v>
      </c>
      <c r="CU14">
        <f t="shared" si="47"/>
        <v>-0.59809736025102977</v>
      </c>
    </row>
    <row r="15" spans="1:99">
      <c r="A15">
        <v>14</v>
      </c>
      <c r="B15" s="21">
        <f>IF(guodubiaoge!$B15="Te0",[5]guodubiaoge!$C15,
IF(guodubiaoge!$D15="Te0",[5]guodubiaoge!$E15,
IF(guodubiaoge!$F15="Te0",[5]guodubiaoge!$G15,
IF(guodubiaoge!$H15="Te0",[5]guodubiaoge!$I15,""))))</f>
        <v>-2.5046244502330701E-4</v>
      </c>
      <c r="C15">
        <f>IF(guodubiaoge!$B15="Te0+HF+6",[5]guodubiaoge!$C15,
IF(guodubiaoge!$D15="Te0+HF+6",[5]guodubiaoge!$E15,
IF(guodubiaoge!$F15="Te0+HF+6",[5]guodubiaoge!$G15,
IF(guodubiaoge!$H15="Te0+HF+6",[5]guodubiaoge!$I15,""))))</f>
        <v>-5.0446581336520901E-4</v>
      </c>
      <c r="D15" t="str">
        <f>IF(guodubiaoge!$B15="Te0+Sim+10",[5]guodubiaoge!$C15,
IF(guodubiaoge!$D15="Te0+Sim+10",[5]guodubiaoge!$E15,
IF(guodubiaoge!$F15="Te0+Sim+10",[5]guodubiaoge!$G15,
IF(guodubiaoge!$H15="Te0+Sim+10",[5]guodubiaoge!$I15,""))))</f>
        <v/>
      </c>
      <c r="E15">
        <f>IF(guodubiaoge!$B15="Te0+SL+10",[5]guodubiaoge!$C15,
IF(guodubiaoge!$D15="Te0+SL+10",[5]guodubiaoge!$E15,
IF(guodubiaoge!$F15="Te0+SL+10",[5]guodubiaoge!$G15,
IF(guodubiaoge!$H15="Te0+SL+10",[5]guodubiaoge!$I15,""))))</f>
        <v>-1.4396657656115799E-3</v>
      </c>
      <c r="F15">
        <f>IF(guodubiaoge!$B15="Te0-10",[5]guodubiaoge!$C15,
IF(guodubiaoge!$D15="Te0-10",[5]guodubiaoge!$E15,
IF(guodubiaoge!$F15="Te0-10",[5]guodubiaoge!$G15,
IF(guodubiaoge!$H15="Te0-10",[5]guodubiaoge!$I15,""))))</f>
        <v>-1.0216300525005999E-3</v>
      </c>
      <c r="G15">
        <f>IF(guodubiaoge!$B15="Te0",[5]guodubiaoge!$J15,
IF(guodubiaoge!$D15="Te0",[5]guodubiaoge!$K15,
IF(guodubiaoge!$F15="Te0",[5]guodubiaoge!$L15,
IF(guodubiaoge!$H15="Te0",[5]guodubiaoge!$M15,""))))</f>
        <v>3.0163852407754901E-2</v>
      </c>
      <c r="H15">
        <f>IF(guodubiaoge!$B15="Te0+HF+6",[5]guodubiaoge!$J15,
IF(guodubiaoge!$D15="Te0+HF+6",[5]guodubiaoge!$K15,
IF(guodubiaoge!$F15="Te0+HF+6",[5]guodubiaoge!$L15,
IF(guodubiaoge!$H15="Te0+HF+6",[5]guodubiaoge!$M15,""))))</f>
        <v>-5.0681818181818102E-3</v>
      </c>
      <c r="I15" t="str">
        <f>IF(guodubiaoge!$B15="Te0+Sim+10",[5]guodubiaoge!$J15,
IF(guodubiaoge!$D15="Te0+Sim+10",[5]guodubiaoge!$K15,
IF(guodubiaoge!$F15="Te0+Sim+10",[5]guodubiaoge!$L15,
IF(guodubiaoge!$H15="Te0+Sim+10",[5]guodubiaoge!$M15,""))))</f>
        <v/>
      </c>
      <c r="J15">
        <f>IF(guodubiaoge!$B15="Te0+SL+10",[5]guodubiaoge!$J15,
IF(guodubiaoge!$D15="Te0+SL+10",[5]guodubiaoge!$K15,
IF(guodubiaoge!$F15="Te0+SL+10",[5]guodubiaoge!$L15,
IF(guodubiaoge!$H15="Te0+SL+10",[5]guodubiaoge!$M15,""))))</f>
        <v>-4.9291236591782299E-2</v>
      </c>
      <c r="K15">
        <f>IF(guodubiaoge!$B15="Te0-10",[5]guodubiaoge!$J15,
IF(guodubiaoge!$D15="Te0-10",[5]guodubiaoge!$K15,
IF(guodubiaoge!$F15="Te0-10",[5]guodubiaoge!$L15,
IF(guodubiaoge!$H15="Te0-10",[5]guodubiaoge!$M15,""))))</f>
        <v>-5.2661361626885599E-3</v>
      </c>
      <c r="L15">
        <f>IF(guodubiaoge!$B15="Te0",[5]guodubiaoge!$N15,
IF(guodubiaoge!$D15="Te0",[5]guodubiaoge!$O15,
IF(guodubiaoge!$F15="Te0",[5]guodubiaoge!$P15,
IF(guodubiaoge!$H15="Te0",[5]guodubiaoge!$Q15,""))))</f>
        <v>-24.851015129931898</v>
      </c>
      <c r="M15">
        <f>IF(guodubiaoge!$B15="Te0+HF+6",[5]guodubiaoge!$N15,
IF(guodubiaoge!$D15="Te0+HF+6",[5]guodubiaoge!$O15,
IF(guodubiaoge!$F15="Te0+HF+6",[5]guodubiaoge!$P15,
IF(guodubiaoge!$H15="Te0+HF+6",[5]guodubiaoge!$Q15,""))))</f>
        <v>17.389117927448901</v>
      </c>
      <c r="N15" t="str">
        <f>IF(guodubiaoge!$B15="Te0+Sim+10",[5]guodubiaoge!$N15,
IF(guodubiaoge!$D15="Te0+Sim+10",[5]guodubiaoge!$O15,
IF(guodubiaoge!$F15="Te0+Sim+10",[5]guodubiaoge!$P15,
IF(guodubiaoge!$H15="Te0+Sim+10",[5]guodubiaoge!$Q15,""))))</f>
        <v/>
      </c>
      <c r="O15">
        <f>IF(guodubiaoge!$B15="Te0+SL+10",[5]guodubiaoge!$N15,
IF(guodubiaoge!$D15="Te0+SL+10",[5]guodubiaoge!$O15,
IF(guodubiaoge!$F15="Te0+SL+10",[5]guodubiaoge!$P15,
IF(guodubiaoge!$H15="Te0+SL+10",[5]guodubiaoge!$Q15,""))))</f>
        <v>-52.963817690667902</v>
      </c>
      <c r="P15">
        <f>IF(guodubiaoge!$B15="Te0-10",[5]guodubiaoge!$N15,
IF(guodubiaoge!$D15="Te0-10",[5]guodubiaoge!$O15,
IF(guodubiaoge!$F15="Te0-10",[5]guodubiaoge!$P15,
IF(guodubiaoge!$H15="Te0-10",[5]guodubiaoge!$Q15,""))))</f>
        <v>-116.04315708788199</v>
      </c>
      <c r="Q15">
        <f>IF(guodubiaoge!$B15="Te0",[5]guodubiaoge!$R15,
IF(guodubiaoge!$D15="Te0",[5]guodubiaoge!$S15,
IF(guodubiaoge!$F15="Te0",[5]guodubiaoge!$T15,
IF(guodubiaoge!$H15="Te0",[5]guodubiaoge!$U15,""))))</f>
        <v>7</v>
      </c>
      <c r="R15">
        <f>IF(guodubiaoge!$B15="Te0+HF+6",[5]guodubiaoge!$R15,
IF(guodubiaoge!$D15="Te0+HF+6",[5]guodubiaoge!$S15,
IF(guodubiaoge!$F15="Te0+HF+6",[5]guodubiaoge!$T15,
IF(guodubiaoge!$H15="Te0+HF+6",[5]guodubiaoge!$U15,""))))</f>
        <v>5</v>
      </c>
      <c r="S15" t="str">
        <f>IF(guodubiaoge!$B15="Te0+Sim+10",[5]guodubiaoge!$R15,
IF(guodubiaoge!$D15="Te0+Sim+10",[5]guodubiaoge!$S15,
IF(guodubiaoge!$F15="Te0+Sim+10",[5]guodubiaoge!$T15,
IF(guodubiaoge!$H15="Te0+Sim+10",[5]guodubiaoge!$U15,""))))</f>
        <v/>
      </c>
      <c r="T15">
        <f>IF(guodubiaoge!$B15="Te0+SL+10",[5]guodubiaoge!$R15,
IF(guodubiaoge!$D15="Te0+SL+10",[5]guodubiaoge!$S15,
IF(guodubiaoge!$F15="Te0+SL+10",[5]guodubiaoge!$T15,
IF(guodubiaoge!$H15="Te0+SL+10",[5]guodubiaoge!$U15,""))))</f>
        <v>7</v>
      </c>
      <c r="U15">
        <f>IF(guodubiaoge!$B15="Te0-10",[5]guodubiaoge!$R15,
IF(guodubiaoge!$D15="Te0-10",[5]guodubiaoge!$S15,
IF(guodubiaoge!$F15="Te0-10",[5]guodubiaoge!$T15,
IF(guodubiaoge!$H15="Te0-10",[5]guodubiaoge!$U15,""))))</f>
        <v>7</v>
      </c>
      <c r="V15">
        <f>IF(guodubiaoge!$B15="Te0",[5]guodubiaoge!$V15,
IF(guodubiaoge!$D15="Te0",[5]guodubiaoge!$W15,
IF(guodubiaoge!$F15="Te0",[5]guodubiaoge!$X15,
IF(guodubiaoge!$H15="Te0",[5]guodubiaoge!$Y15,""))))</f>
        <v>7</v>
      </c>
      <c r="W15">
        <f>IF(guodubiaoge!$B15="Te0+HF+6",[5]guodubiaoge!$V15,
IF(guodubiaoge!$D15="Te0+HF+6",[5]guodubiaoge!$W15,
IF(guodubiaoge!$F15="Te0+HF+6",[5]guodubiaoge!$X15,
IF(guodubiaoge!$H15="Te0+HF+6",[5]guodubiaoge!$Y15,""))))</f>
        <v>7</v>
      </c>
      <c r="X15" t="str">
        <f>IF(guodubiaoge!$B15="Te0+Sim+10",[5]guodubiaoge!$V15,
IF(guodubiaoge!$D15="Te0+Sim+10",[5]guodubiaoge!$W15,
IF(guodubiaoge!$F15="Te0+Sim+10",[5]guodubiaoge!$X15,
IF(guodubiaoge!$H15="Te0+Sim+10",[5]guodubiaoge!$Y15,""))))</f>
        <v/>
      </c>
      <c r="Y15">
        <f>IF(guodubiaoge!$B15="Te0+SL+10",[5]guodubiaoge!$U15,
IF(guodubiaoge!$D15="Te0+SL+10",[5]guodubiaoge!$W15,
IF(guodubiaoge!$F15="Te0+SL+10",[5]guodubiaoge!$X15,
IF(guodubiaoge!$H15="Te0+SL+10",[5]guodubiaoge!$Y15,""))))</f>
        <v>6</v>
      </c>
      <c r="Z15">
        <f>IF(guodubiaoge!$B15="Te0-10",[5]guodubiaoge!$U15,
IF(guodubiaoge!$D15="Te0-10",[5]guodubiaoge!$W15,
IF(guodubiaoge!$F15="Te0-10",[5]guodubiaoge!$X15,
IF(guodubiaoge!$H15="Te0-10",[5]guodubiaoge!$Y15,""))))</f>
        <v>6</v>
      </c>
      <c r="AA15">
        <f>IF(guodubiaoge!$B15="Te0",[5]guodubiaoge!$Z15,
IF(guodubiaoge!$D15="Te0",[5]guodubiaoge!$AA15,
IF(guodubiaoge!$F15="Te0",[5]guodubiaoge!$AB15,
IF(guodubiaoge!$H15="Te0",[5]guodubiaoge!$AC15,""))))</f>
        <v>-6.76305024745115</v>
      </c>
      <c r="AB15">
        <f>IF(guodubiaoge!$B15="Te0+HF+6",[5]guodubiaoge!$Z15,
IF(guodubiaoge!$D15="Te0+HF+6",[5]guodubiaoge!$AA15,
IF(guodubiaoge!$F15="Te0+HF+6",[5]guodubiaoge!$AB15,
IF(guodubiaoge!$H15="Te0+HF+6",[5]guodubiaoge!$AC15,""))))</f>
        <v>-51.757841476892096</v>
      </c>
      <c r="AC15" t="str">
        <f>IF(guodubiaoge!$B15="Te0+Sim+10",[5]guodubiaoge!$Z15,
IF(guodubiaoge!$D15="Te0+Sim+10",[5]guodubiaoge!$AA15,
IF(guodubiaoge!$F15="Te0+Sim+10",[5]guodubiaoge!$AB15,
IF(guodubiaoge!$H15="Te0+Sim+10",[5]guodubiaoge!$AC15,""))))</f>
        <v/>
      </c>
      <c r="AD15">
        <f>IF(guodubiaoge!$B15="Te0+SL+10",[5]guodubiaoge!$Z15,
IF(guodubiaoge!$D15="Te0+SL+10",[5]guodubiaoge!$AA15,
IF(guodubiaoge!$F15="Te0+SL+10",[5]guodubiaoge!$AB15,
IF(guodubiaoge!$H15="Te0+SL+10",[5]guodubiaoge!$AC15,""))))</f>
        <v>1.39403373576381</v>
      </c>
      <c r="AE15">
        <f>IF(guodubiaoge!$B15="Te0-10",[5]guodubiaoge!$Z15,
IF(guodubiaoge!$D15="Te0-10",[5]guodubiaoge!$AA15,
IF(guodubiaoge!$F15="Te0-10",[5]guodubiaoge!$AB15,
IF(guodubiaoge!$H15="Te0-10",[5]guodubiaoge!$AC15,""))))</f>
        <v>-153.02879081500001</v>
      </c>
      <c r="AF15">
        <f t="shared" si="0"/>
        <v>-0.391590074840166</v>
      </c>
      <c r="AG15" t="str">
        <f t="shared" si="1"/>
        <v/>
      </c>
      <c r="AH15">
        <f t="shared" si="2"/>
        <v>-0.33080360691629029</v>
      </c>
      <c r="AI15">
        <f t="shared" si="3"/>
        <v>0.27102109399567353</v>
      </c>
      <c r="AJ15" t="str">
        <f t="shared" si="4"/>
        <v/>
      </c>
      <c r="AK15">
        <f t="shared" si="5"/>
        <v>3.1333955512599737E-2</v>
      </c>
      <c r="AL15">
        <f t="shared" si="6"/>
        <v>-0.12056898084449247</v>
      </c>
      <c r="AM15" t="str">
        <f t="shared" si="7"/>
        <v/>
      </c>
      <c r="AN15">
        <f t="shared" si="8"/>
        <v>-0.29946965140369053</v>
      </c>
      <c r="AO15">
        <f t="shared" si="9"/>
        <v>7.0026668329532015E-3</v>
      </c>
      <c r="AP15" t="str">
        <f t="shared" si="10"/>
        <v/>
      </c>
      <c r="AQ15">
        <f t="shared" si="11"/>
        <v>-0.27224790516737019</v>
      </c>
      <c r="AR15">
        <f t="shared" si="12"/>
        <v>-0.36438684414844424</v>
      </c>
      <c r="AS15" t="str">
        <f t="shared" si="13"/>
        <v/>
      </c>
      <c r="AT15">
        <f t="shared" si="14"/>
        <v>0.31151318199717315</v>
      </c>
      <c r="AU15">
        <f t="shared" si="15"/>
        <v>-0.19368383803739461</v>
      </c>
      <c r="AV15" t="str">
        <f t="shared" si="16"/>
        <v/>
      </c>
      <c r="AW15">
        <f t="shared" si="17"/>
        <v>-0.33079615387055483</v>
      </c>
      <c r="AX15" s="21">
        <f t="shared" si="18"/>
        <v>-8.3033971137889198E-3</v>
      </c>
      <c r="AY15">
        <f t="shared" si="19"/>
        <v>9.9535855551879965E-2</v>
      </c>
      <c r="AZ15" t="str">
        <f t="shared" si="20"/>
        <v/>
      </c>
      <c r="BA15">
        <f t="shared" si="21"/>
        <v>2.9207337148680849E-2</v>
      </c>
      <c r="BB15">
        <f>IF(guodubiaoge!$B15="TE0",[5]guodubiaoge!$AD15,
IF(guodubiaoge!$D15="TE0",[5]guodubiaoge!$AE15,
IF(guodubiaoge!$F15="TE0",[5]guodubiaoge!$AF15,
IF(guodubiaoge!$H15="TE0",[5]guodubiaoge!$AG15,""))))</f>
        <v>-8.55011461279431E-5</v>
      </c>
      <c r="BC15">
        <f>IF(guodubiaoge!$B15="TE0+HF+6",[5]guodubiaoge!$AD15,
IF(guodubiaoge!$D15="TE0+HF+6",[5]guodubiaoge!$AE15,
IF(guodubiaoge!$F15="TE0+HF+6",[5]guodubiaoge!$AF15,
IF(guodubiaoge!$H15="TE0+HF+6",[5]guodubiaoge!$AG15,""))))</f>
        <v>-2.1415216934825201E-2</v>
      </c>
      <c r="BD15" t="str">
        <f>IF(guodubiaoge!$B15="TE0+Sim+10",[5]guodubiaoge!$AD15,
IF(guodubiaoge!$D15="TE0+Sim+10",[5]guodubiaoge!$AE15,
IF(guodubiaoge!$F15="TE0+Sim+10",[5]guodubiaoge!$AF15,
IF(guodubiaoge!$H15="TE0+Sim+10",[5]guodubiaoge!$AG15,""))))</f>
        <v/>
      </c>
      <c r="BE15">
        <f>IF(guodubiaoge!$B15="TE0+SL+10",[5]guodubiaoge!$AD15,
IF(guodubiaoge!$D15="TE0+SL+10",[5]guodubiaoge!$AE15,
IF(guodubiaoge!$F15="TE0+SL+10",[5]guodubiaoge!$AF15,
IF(guodubiaoge!$H15="TE0+SL+10",[5]guodubiaoge!$AG15,""))))</f>
        <v>3.49961071831402E-3</v>
      </c>
      <c r="BF15">
        <f>IF(guodubiaoge!$B15="TE0",[5]guodubiaoge!$AH15,
IF(guodubiaoge!$D15="TE0",[5]guodubiaoge!$AI15,
IF(guodubiaoge!$F15="TE0",[5]guodubiaoge!$AJ15,
IF(guodubiaoge!$H15="TE0",[5]guodubiaoge!$AK15,""))))</f>
        <v>-1.7895109395108799E-2</v>
      </c>
      <c r="BG15">
        <f>IF(guodubiaoge!$B15="TE0+HF+6",[5]guodubiaoge!$AH15,
IF(guodubiaoge!$D15="TE0+HF+6",[5]guodubiaoge!$AI15,
IF(guodubiaoge!$F15="TE0+HF+6",[5]guodubiaoge!$AJ15,
IF(guodubiaoge!$H15="TE0+HF+6",[5]guodubiaoge!$AK15,""))))</f>
        <v>-4.4760312151616098E-2</v>
      </c>
      <c r="BH15" t="str">
        <f>IF(guodubiaoge!$B15="TE0+Sim+10",[5]guodubiaoge!$AH15,
IF(guodubiaoge!$D15="TE0+Sim+10",[5]guodubiaoge!$AI15,
IF(guodubiaoge!$F15="TE0+Sim+10",[5]guodubiaoge!$AJ15,
IF(guodubiaoge!$H15="TE0+Sim+10",[5]guodubiaoge!$AK15,""))))</f>
        <v/>
      </c>
      <c r="BI15">
        <f>IF(guodubiaoge!$B15="TE0+SL+10",[5]guodubiaoge!$AH15,
IF(guodubiaoge!$D15="TE0+SL+10",[5]guodubiaoge!$AI15,
IF(guodubiaoge!$F15="TE0+SL+10",[5]guodubiaoge!$AJ15,
IF(guodubiaoge!$H15="TE0+SL+10",[5]guodubiaoge!$AK15,""))))</f>
        <v>8.7195555555556498E-2</v>
      </c>
      <c r="BJ15">
        <f>IF(guodubiaoge!$B15="TE0",[5]guodubiaoge!$AL15,
IF(guodubiaoge!$D15="TE0",[5]guodubiaoge!$AM15,
IF(guodubiaoge!$F15="TE0",[5]guodubiaoge!$AN15,
IF(guodubiaoge!$H15="TE0",[5]guodubiaoge!$AO15,""))))</f>
        <v>5.7439554156671404</v>
      </c>
      <c r="BK15">
        <f>IF(guodubiaoge!$B15="TE0+HF+6",[5]guodubiaoge!$AL15,
IF(guodubiaoge!$D15="TE0+HF+6",[5]guodubiaoge!$AM15,
IF(guodubiaoge!$F15="TE0+HF+6",[5]guodubiaoge!$AN15,
IF(guodubiaoge!$H15="TE0+HF+6",[5]guodubiaoge!$AO15,""))))</f>
        <v>-40.601086418870402</v>
      </c>
      <c r="BL15" t="str">
        <f>IF(guodubiaoge!$B15="TE0+Sim+10",[5]guodubiaoge!$AL15,
IF(guodubiaoge!$D15="TE0+Sim+10",[5]guodubiaoge!$AM15,
IF(guodubiaoge!$F15="TE0+Sim+10",[5]guodubiaoge!$AN15,
IF(guodubiaoge!$H15="TE0+Sim+10",[5]guodubiaoge!$AO15,""))))</f>
        <v/>
      </c>
      <c r="BM15">
        <f>IF(guodubiaoge!$B15="TE0+SL+10",[5]guodubiaoge!$AL15,
IF(guodubiaoge!$D15="TE0+SL+10",[5]guodubiaoge!$AM15,
IF(guodubiaoge!$F15="TE0+SL+10",[5]guodubiaoge!$AN15,
IF(guodubiaoge!$H15="TE0+SL+10",[5]guodubiaoge!$AO15,""))))</f>
        <v>3.3202569448688601</v>
      </c>
      <c r="BN15">
        <f>IF(guodubiaoge!$B15="TE0",[5]guodubiaoge!$AP15,
IF(guodubiaoge!$D15="TE0",[5]guodubiaoge!$AQ15,
IF(guodubiaoge!$F15="TE0",[5]guodubiaoge!$AR15,
IF(guodubiaoge!$H15="TE0",[5]guodubiaoge!$AS15,""))))</f>
        <v>-18.159006977645699</v>
      </c>
      <c r="BO15">
        <f>IF(guodubiaoge!$B15="TE0+HF+6",[5]guodubiaoge!$AP15,
IF(guodubiaoge!$D15="TE0+HF+6",[5]guodubiaoge!$AQ15,
IF(guodubiaoge!$F15="TE0+HF+6",[5]guodubiaoge!$AR15,
IF(guodubiaoge!$H15="TE0+HF+6",[5]guodubiaoge!$AS15,""))))</f>
        <v>-12.7317086505823</v>
      </c>
      <c r="BP15" t="str">
        <f>IF(guodubiaoge!$B15="TE0+Sim+10",[5]guodubiaoge!$AP15,
IF(guodubiaoge!$D15="TE0+Sim+10",[5]guodubiaoge!$AQ15,
IF(guodubiaoge!$F15="TE0+Sim+10",[5]guodubiaoge!$AR15,
IF(guodubiaoge!$H15="TE0+Sim+10",[5]guodubiaoge!$AS15,""))))</f>
        <v/>
      </c>
      <c r="BQ15">
        <f>IF(guodubiaoge!$B15="TE0+SL+10",[5]guodubiaoge!$AP15,
IF(guodubiaoge!$D15="TE0+SL+10",[5]guodubiaoge!$AQ15,
IF(guodubiaoge!$F15="TE0+SL+10",[5]guodubiaoge!$AR15,
IF(guodubiaoge!$H15="TE0+SL+10",[5]guodubiaoge!$AS15,""))))</f>
        <v>-12.7145713501454</v>
      </c>
      <c r="BR15">
        <f t="shared" si="22"/>
        <v>0.2878705352720427</v>
      </c>
      <c r="BS15" s="26">
        <f t="shared" si="23"/>
        <v>-2.2498749550624022</v>
      </c>
      <c r="BT15" s="26" t="str">
        <f t="shared" si="24"/>
        <v/>
      </c>
      <c r="BU15" s="26">
        <f t="shared" si="25"/>
        <v>0.80443253514433177</v>
      </c>
      <c r="BV15" s="26">
        <f t="shared" si="26"/>
        <v>4.6692110163548788E-2</v>
      </c>
      <c r="BW15">
        <f t="shared" si="27"/>
        <v>-0.77544407645851698</v>
      </c>
      <c r="BX15" t="str">
        <f t="shared" si="28"/>
        <v/>
      </c>
      <c r="BY15">
        <f t="shared" si="29"/>
        <v>1.6799072678306837</v>
      </c>
      <c r="BZ15">
        <f t="shared" si="30"/>
        <v>0.26410182066062848</v>
      </c>
      <c r="CA15">
        <f t="shared" si="31"/>
        <v>-0.24938552197452771</v>
      </c>
      <c r="CB15" t="str">
        <f t="shared" si="32"/>
        <v/>
      </c>
      <c r="CC15">
        <f t="shared" si="33"/>
        <v>0.17528232742149658</v>
      </c>
      <c r="CD15">
        <f t="shared" si="34"/>
        <v>-5.608078709052295E-2</v>
      </c>
      <c r="CE15">
        <f t="shared" si="35"/>
        <v>-0.20068650487034781</v>
      </c>
      <c r="CF15" t="str">
        <f t="shared" si="36"/>
        <v/>
      </c>
      <c r="CG15">
        <f t="shared" si="37"/>
        <v>-5.854824870318464E-2</v>
      </c>
      <c r="CH15">
        <f t="shared" si="38"/>
        <v>0.3345626454355915</v>
      </c>
      <c r="CI15">
        <f t="shared" si="39"/>
        <v>-3.0253190315209193</v>
      </c>
      <c r="CJ15" t="str">
        <f t="shared" si="40"/>
        <v/>
      </c>
      <c r="CK15">
        <f t="shared" si="41"/>
        <v>2.4843398029750157</v>
      </c>
      <c r="CL15">
        <f t="shared" si="42"/>
        <v>0.34755006399147986</v>
      </c>
      <c r="CM15">
        <f t="shared" si="43"/>
        <v>-0.61377236612297192</v>
      </c>
      <c r="CN15" t="str">
        <f t="shared" si="44"/>
        <v/>
      </c>
      <c r="CO15">
        <f t="shared" si="45"/>
        <v>0.48679550941866973</v>
      </c>
      <c r="CP15">
        <f>IF(AA15="","",(AA15-AVERAGE($AA$2:AA$26))/_xlfn.STDEV.S($AA$2:$AA$26))</f>
        <v>8.3448243330851379E-2</v>
      </c>
      <c r="CQ15">
        <f>IF(L15="","",(L15-AVERAGE($L$2:L$26))/_xlfn.STDEV.S($L$2:$L$26))</f>
        <v>7.2362133841933685E-2</v>
      </c>
      <c r="CR15">
        <f t="shared" si="46"/>
        <v>1.6281346751410734E-2</v>
      </c>
      <c r="CS15">
        <f>IF(B15="","",(B15-AVERAGE($B$2:B$26))/_xlfn.STDEV.S($B$2:$B$26))</f>
        <v>-0.11607582414861724</v>
      </c>
      <c r="CT15">
        <f>IF(G15="","",(G15-AVERAGE($G$2:G$26))/_xlfn.STDEV.S($G$2:$G$26))</f>
        <v>0.12112773579374146</v>
      </c>
      <c r="CU15">
        <f t="shared" si="47"/>
        <v>5.0519116451242241E-3</v>
      </c>
    </row>
    <row r="16" spans="1:99">
      <c r="A16">
        <v>15</v>
      </c>
      <c r="B16" s="21">
        <f>IF(guodubiaoge!$B16="Te0",[5]guodubiaoge!$C16,
IF(guodubiaoge!$D16="Te0",[5]guodubiaoge!$E16,
IF(guodubiaoge!$F16="Te0",[5]guodubiaoge!$G16,
IF(guodubiaoge!$H16="Te0",[5]guodubiaoge!$I16,""))))</f>
        <v>4.1143720633559001E-4</v>
      </c>
      <c r="C16">
        <f>IF(guodubiaoge!$B16="Te0+HF+6",[5]guodubiaoge!$C16,
IF(guodubiaoge!$D16="Te0+HF+6",[5]guodubiaoge!$E16,
IF(guodubiaoge!$F16="Te0+HF+6",[5]guodubiaoge!$G16,
IF(guodubiaoge!$H16="Te0+HF+6",[5]guodubiaoge!$I16,""))))</f>
        <v>-1.08922403660911E-4</v>
      </c>
      <c r="D16" t="str">
        <f>IF(guodubiaoge!$B16="Te0+Sim+10",[5]guodubiaoge!$C16,
IF(guodubiaoge!$D16="Te0+Sim+10",[5]guodubiaoge!$E16,
IF(guodubiaoge!$F16="Te0+Sim+10",[5]guodubiaoge!$G16,
IF(guodubiaoge!$H16="Te0+Sim+10",[5]guodubiaoge!$I16,""))))</f>
        <v/>
      </c>
      <c r="E16">
        <f>IF(guodubiaoge!$B16="Te0+SL+10",[5]guodubiaoge!$C16,
IF(guodubiaoge!$D16="Te0+SL+10",[5]guodubiaoge!$E16,
IF(guodubiaoge!$F16="Te0+SL+10",[5]guodubiaoge!$G16,
IF(guodubiaoge!$H16="Te0+SL+10",[5]guodubiaoge!$I16,""))))</f>
        <v>-1.0785648726197999E-3</v>
      </c>
      <c r="F16">
        <f>IF(guodubiaoge!$B16="Te0-10",[5]guodubiaoge!$C16,
IF(guodubiaoge!$D16="Te0-10",[5]guodubiaoge!$E16,
IF(guodubiaoge!$F16="Te0-10",[5]guodubiaoge!$G16,
IF(guodubiaoge!$H16="Te0-10",[5]guodubiaoge!$I16,""))))</f>
        <v>2.1248523610334002E-3</v>
      </c>
      <c r="G16">
        <f>IF(guodubiaoge!$B16="Te0",[5]guodubiaoge!$J16,
IF(guodubiaoge!$D16="Te0",[5]guodubiaoge!$K16,
IF(guodubiaoge!$F16="Te0",[5]guodubiaoge!$L16,
IF(guodubiaoge!$H16="Te0",[5]guodubiaoge!$M16,""))))</f>
        <v>4.91777777777773E-2</v>
      </c>
      <c r="H16">
        <f>IF(guodubiaoge!$B16="Te0+HF+6",[5]guodubiaoge!$J16,
IF(guodubiaoge!$D16="Te0+HF+6",[5]guodubiaoge!$K16,
IF(guodubiaoge!$F16="Te0+HF+6",[5]guodubiaoge!$L16,
IF(guodubiaoge!$H16="Te0+HF+6",[5]guodubiaoge!$M16,""))))</f>
        <v>-3.60647391577626E-2</v>
      </c>
      <c r="I16" t="str">
        <f>IF(guodubiaoge!$B16="Te0+Sim+10",[5]guodubiaoge!$J16,
IF(guodubiaoge!$D16="Te0+Sim+10",[5]guodubiaoge!$K16,
IF(guodubiaoge!$F16="Te0+Sim+10",[5]guodubiaoge!$L16,
IF(guodubiaoge!$H16="Te0+Sim+10",[5]guodubiaoge!$M16,""))))</f>
        <v/>
      </c>
      <c r="J16">
        <f>IF(guodubiaoge!$B16="Te0+SL+10",[5]guodubiaoge!$J16,
IF(guodubiaoge!$D16="Te0+SL+10",[5]guodubiaoge!$K16,
IF(guodubiaoge!$F16="Te0+SL+10",[5]guodubiaoge!$L16,
IF(guodubiaoge!$H16="Te0+SL+10",[5]guodubiaoge!$M16,""))))</f>
        <v>-3.77136363636369E-2</v>
      </c>
      <c r="K16">
        <f>IF(guodubiaoge!$B16="Te0-10",[5]guodubiaoge!$J16,
IF(guodubiaoge!$D16="Te0-10",[5]guodubiaoge!$K16,
IF(guodubiaoge!$F16="Te0-10",[5]guodubiaoge!$L16,
IF(guodubiaoge!$H16="Te0-10",[5]guodubiaoge!$M16,""))))</f>
        <v>-0.104845763164929</v>
      </c>
      <c r="L16">
        <f>IF(guodubiaoge!$B16="Te0",[5]guodubiaoge!$N16,
IF(guodubiaoge!$D16="Te0",[5]guodubiaoge!$O16,
IF(guodubiaoge!$F16="Te0",[5]guodubiaoge!$P16,
IF(guodubiaoge!$H16="Te0",[5]guodubiaoge!$Q16,""))))</f>
        <v>37.029782780666402</v>
      </c>
      <c r="M16">
        <f>IF(guodubiaoge!$B16="Te0+HF+6",[5]guodubiaoge!$N16,
IF(guodubiaoge!$D16="Te0+HF+6",[5]guodubiaoge!$O16,
IF(guodubiaoge!$F16="Te0+HF+6",[5]guodubiaoge!$P16,
IF(guodubiaoge!$H16="Te0+HF+6",[5]guodubiaoge!$Q16,""))))</f>
        <v>-18.185650596142299</v>
      </c>
      <c r="N16" t="str">
        <f>IF(guodubiaoge!$B16="Te0+Sim+10",[5]guodubiaoge!$N16,
IF(guodubiaoge!$D16="Te0+Sim+10",[5]guodubiaoge!$O16,
IF(guodubiaoge!$F16="Te0+Sim+10",[5]guodubiaoge!$P16,
IF(guodubiaoge!$H16="Te0+Sim+10",[5]guodubiaoge!$Q16,""))))</f>
        <v/>
      </c>
      <c r="O16">
        <f>IF(guodubiaoge!$B16="Te0+SL+10",[5]guodubiaoge!$N16,
IF(guodubiaoge!$D16="Te0+SL+10",[5]guodubiaoge!$O16,
IF(guodubiaoge!$F16="Te0+SL+10",[5]guodubiaoge!$P16,
IF(guodubiaoge!$H16="Te0+SL+10",[5]guodubiaoge!$Q16,""))))</f>
        <v>-34.433507105479499</v>
      </c>
      <c r="P16">
        <f>IF(guodubiaoge!$B16="Te0-10",[5]guodubiaoge!$N16,
IF(guodubiaoge!$D16="Te0-10",[5]guodubiaoge!$O16,
IF(guodubiaoge!$F16="Te0-10",[5]guodubiaoge!$P16,
IF(guodubiaoge!$H16="Te0-10",[5]guodubiaoge!$Q16,""))))</f>
        <v>-20.9567487814689</v>
      </c>
      <c r="Q16">
        <f>IF(guodubiaoge!$B16="Te0",[5]guodubiaoge!$R16,
IF(guodubiaoge!$D16="Te0",[5]guodubiaoge!$S16,
IF(guodubiaoge!$F16="Te0",[5]guodubiaoge!$T16,
IF(guodubiaoge!$H16="Te0",[5]guodubiaoge!$U16,""))))</f>
        <v>6</v>
      </c>
      <c r="R16">
        <f>IF(guodubiaoge!$B16="Te0+HF+6",[5]guodubiaoge!$R16,
IF(guodubiaoge!$D16="Te0+HF+6",[5]guodubiaoge!$S16,
IF(guodubiaoge!$F16="Te0+HF+6",[5]guodubiaoge!$T16,
IF(guodubiaoge!$H16="Te0+HF+6",[5]guodubiaoge!$U16,""))))</f>
        <v>6</v>
      </c>
      <c r="S16" t="str">
        <f>IF(guodubiaoge!$B16="Te0+Sim+10",[5]guodubiaoge!$R16,
IF(guodubiaoge!$D16="Te0+Sim+10",[5]guodubiaoge!$S16,
IF(guodubiaoge!$F16="Te0+Sim+10",[5]guodubiaoge!$T16,
IF(guodubiaoge!$H16="Te0+Sim+10",[5]guodubiaoge!$U16,""))))</f>
        <v/>
      </c>
      <c r="T16">
        <f>IF(guodubiaoge!$B16="Te0+SL+10",[5]guodubiaoge!$R16,
IF(guodubiaoge!$D16="Te0+SL+10",[5]guodubiaoge!$S16,
IF(guodubiaoge!$F16="Te0+SL+10",[5]guodubiaoge!$T16,
IF(guodubiaoge!$H16="Te0+SL+10",[5]guodubiaoge!$U16,""))))</f>
        <v>6</v>
      </c>
      <c r="U16">
        <f>IF(guodubiaoge!$B16="Te0-10",[5]guodubiaoge!$R16,
IF(guodubiaoge!$D16="Te0-10",[5]guodubiaoge!$S16,
IF(guodubiaoge!$F16="Te0-10",[5]guodubiaoge!$T16,
IF(guodubiaoge!$H16="Te0-10",[5]guodubiaoge!$U16,""))))</f>
        <v>7</v>
      </c>
      <c r="V16">
        <f>IF(guodubiaoge!$B16="Te0",[5]guodubiaoge!$V16,
IF(guodubiaoge!$D16="Te0",[5]guodubiaoge!$W16,
IF(guodubiaoge!$F16="Te0",[5]guodubiaoge!$X16,
IF(guodubiaoge!$H16="Te0",[5]guodubiaoge!$Y16,""))))</f>
        <v>7</v>
      </c>
      <c r="W16">
        <f>IF(guodubiaoge!$B16="Te0+HF+6",[5]guodubiaoge!$V16,
IF(guodubiaoge!$D16="Te0+HF+6",[5]guodubiaoge!$W16,
IF(guodubiaoge!$F16="Te0+HF+6",[5]guodubiaoge!$X16,
IF(guodubiaoge!$H16="Te0+HF+6",[5]guodubiaoge!$Y16,""))))</f>
        <v>7</v>
      </c>
      <c r="X16" t="str">
        <f>IF(guodubiaoge!$B16="Te0+Sim+10",[5]guodubiaoge!$V16,
IF(guodubiaoge!$D16="Te0+Sim+10",[5]guodubiaoge!$W16,
IF(guodubiaoge!$F16="Te0+Sim+10",[5]guodubiaoge!$X16,
IF(guodubiaoge!$H16="Te0+Sim+10",[5]guodubiaoge!$Y16,""))))</f>
        <v/>
      </c>
      <c r="Y16">
        <f>IF(guodubiaoge!$B16="Te0+SL+10",[5]guodubiaoge!$U16,
IF(guodubiaoge!$D16="Te0+SL+10",[5]guodubiaoge!$W16,
IF(guodubiaoge!$F16="Te0+SL+10",[5]guodubiaoge!$X16,
IF(guodubiaoge!$H16="Te0+SL+10",[5]guodubiaoge!$Y16,""))))</f>
        <v>7</v>
      </c>
      <c r="Z16">
        <f>IF(guodubiaoge!$B16="Te0-10",[5]guodubiaoge!$U16,
IF(guodubiaoge!$D16="Te0-10",[5]guodubiaoge!$W16,
IF(guodubiaoge!$F16="Te0-10",[5]guodubiaoge!$X16,
IF(guodubiaoge!$H16="Te0-10",[5]guodubiaoge!$Y16,""))))</f>
        <v>6</v>
      </c>
      <c r="AA16">
        <f>IF(guodubiaoge!$B16="Te0",[5]guodubiaoge!$Z16,
IF(guodubiaoge!$D16="Te0",[5]guodubiaoge!$AA16,
IF(guodubiaoge!$F16="Te0",[5]guodubiaoge!$AB16,
IF(guodubiaoge!$H16="Te0",[5]guodubiaoge!$AC16,""))))</f>
        <v>-29.749545855942099</v>
      </c>
      <c r="AB16">
        <f>IF(guodubiaoge!$B16="Te0+HF+6",[5]guodubiaoge!$Z16,
IF(guodubiaoge!$D16="Te0+HF+6",[5]guodubiaoge!$AA16,
IF(guodubiaoge!$F16="Te0+HF+6",[5]guodubiaoge!$AB16,
IF(guodubiaoge!$H16="Te0+HF+6",[5]guodubiaoge!$AC16,""))))</f>
        <v>-12.0024793356278</v>
      </c>
      <c r="AC16" t="str">
        <f>IF(guodubiaoge!$B16="Te0+Sim+10",[5]guodubiaoge!$Z16,
IF(guodubiaoge!$D16="Te0+Sim+10",[5]guodubiaoge!$AA16,
IF(guodubiaoge!$F16="Te0+Sim+10",[5]guodubiaoge!$AB16,
IF(guodubiaoge!$H16="Te0+Sim+10",[5]guodubiaoge!$AC16,""))))</f>
        <v/>
      </c>
      <c r="AD16">
        <f>IF(guodubiaoge!$B16="Te0+SL+10",[5]guodubiaoge!$Z16,
IF(guodubiaoge!$D16="Te0+SL+10",[5]guodubiaoge!$AA16,
IF(guodubiaoge!$F16="Te0+SL+10",[5]guodubiaoge!$AB16,
IF(guodubiaoge!$H16="Te0+SL+10",[5]guodubiaoge!$AC16,""))))</f>
        <v>-19.07671167102</v>
      </c>
      <c r="AE16">
        <f>IF(guodubiaoge!$B16="Te0-10",[5]guodubiaoge!$Z16,
IF(guodubiaoge!$D16="Te0-10",[5]guodubiaoge!$AA16,
IF(guodubiaoge!$F16="Te0-10",[5]guodubiaoge!$AB16,
IF(guodubiaoge!$H16="Te0-10",[5]guodubiaoge!$AC16,""))))</f>
        <v>40.939464730457502</v>
      </c>
      <c r="AF16">
        <f t="shared" si="0"/>
        <v>-0.27346568302217594</v>
      </c>
      <c r="AG16" t="str">
        <f t="shared" si="1"/>
        <v/>
      </c>
      <c r="AH16">
        <f t="shared" si="2"/>
        <v>-0.20647276648589979</v>
      </c>
      <c r="AI16">
        <f t="shared" si="3"/>
        <v>-0.5037614088107607</v>
      </c>
      <c r="AJ16" t="str">
        <f t="shared" si="4"/>
        <v/>
      </c>
      <c r="AK16">
        <f t="shared" si="5"/>
        <v>9.9991338903567553E-2</v>
      </c>
      <c r="AL16">
        <f t="shared" si="6"/>
        <v>-0.7772270918329367</v>
      </c>
      <c r="AM16" t="str">
        <f t="shared" si="7"/>
        <v/>
      </c>
      <c r="AN16">
        <f t="shared" si="8"/>
        <v>-0.10648142758233224</v>
      </c>
      <c r="AO16">
        <f t="shared" si="9"/>
        <v>-0.1355707808001336</v>
      </c>
      <c r="AP16" t="str">
        <f t="shared" si="10"/>
        <v/>
      </c>
      <c r="AQ16">
        <f t="shared" si="11"/>
        <v>-0.20251839157999099</v>
      </c>
      <c r="AR16">
        <f t="shared" si="12"/>
        <v>-0.11392301062128111</v>
      </c>
      <c r="AS16" t="str">
        <f t="shared" si="13"/>
        <v/>
      </c>
      <c r="AT16">
        <f t="shared" si="14"/>
        <v>9.6594895782002782E-2</v>
      </c>
      <c r="AU16">
        <f t="shared" si="15"/>
        <v>-0.41512338719019959</v>
      </c>
      <c r="AV16" t="str">
        <f t="shared" si="16"/>
        <v/>
      </c>
      <c r="AW16">
        <f t="shared" si="17"/>
        <v>-0.36275769536041269</v>
      </c>
      <c r="AX16" s="21">
        <f t="shared" si="18"/>
        <v>8.3663236715326387E-3</v>
      </c>
      <c r="AY16">
        <f t="shared" si="19"/>
        <v>3.0201910842731399E-3</v>
      </c>
      <c r="AZ16" t="str">
        <f t="shared" si="20"/>
        <v/>
      </c>
      <c r="BA16">
        <f t="shared" si="21"/>
        <v>2.8598803420073836E-2</v>
      </c>
      <c r="BB16">
        <f>IF(guodubiaoge!$B16="TE0",[5]guodubiaoge!$AD16,
IF(guodubiaoge!$D16="TE0",[5]guodubiaoge!$AE16,
IF(guodubiaoge!$F16="TE0",[5]guodubiaoge!$AF16,
IF(guodubiaoge!$H16="TE0",[5]guodubiaoge!$AG16,""))))</f>
        <v>-1.9890335961733501E-3</v>
      </c>
      <c r="BC16">
        <f>IF(guodubiaoge!$B16="TE0+HF+6",[5]guodubiaoge!$AD16,
IF(guodubiaoge!$D16="TE0+HF+6",[5]guodubiaoge!$AE16,
IF(guodubiaoge!$F16="TE0+HF+6",[5]guodubiaoge!$AF16,
IF(guodubiaoge!$H16="TE0+HF+6",[5]guodubiaoge!$AG16,""))))</f>
        <v>-3.4718556822954903E-2</v>
      </c>
      <c r="BD16" t="str">
        <f>IF(guodubiaoge!$B16="TE0+Sim+10",[5]guodubiaoge!$AD16,
IF(guodubiaoge!$D16="TE0+Sim+10",[5]guodubiaoge!$AE16,
IF(guodubiaoge!$F16="TE0+Sim+10",[5]guodubiaoge!$AF16,
IF(guodubiaoge!$H16="TE0+Sim+10",[5]guodubiaoge!$AG16,""))))</f>
        <v/>
      </c>
      <c r="BE16">
        <f>IF(guodubiaoge!$B16="TE0+SL+10",[5]guodubiaoge!$AD16,
IF(guodubiaoge!$D16="TE0+SL+10",[5]guodubiaoge!$AE16,
IF(guodubiaoge!$F16="TE0+SL+10",[5]guodubiaoge!$AF16,
IF(guodubiaoge!$H16="TE0+SL+10",[5]guodubiaoge!$AG16,""))))</f>
        <v>2.3063780199487102E-3</v>
      </c>
      <c r="BF16">
        <f>IF(guodubiaoge!$B16="TE0",[5]guodubiaoge!$AH16,
IF(guodubiaoge!$D16="TE0",[5]guodubiaoge!$AI16,
IF(guodubiaoge!$F16="TE0",[5]guodubiaoge!$AJ16,
IF(guodubiaoge!$H16="TE0",[5]guodubiaoge!$AK16,""))))</f>
        <v>-4.2646844027126103E-2</v>
      </c>
      <c r="BG16">
        <f>IF(guodubiaoge!$B16="TE0+HF+6",[5]guodubiaoge!$AH16,
IF(guodubiaoge!$D16="TE0+HF+6",[5]guodubiaoge!$AI16,
IF(guodubiaoge!$F16="TE0+HF+6",[5]guodubiaoge!$AJ16,
IF(guodubiaoge!$H16="TE0+HF+6",[5]guodubiaoge!$AK16,""))))</f>
        <v>-9.9224711907809196E-2</v>
      </c>
      <c r="BH16" t="str">
        <f>IF(guodubiaoge!$B16="TE0+Sim+10",[5]guodubiaoge!$AH16,
IF(guodubiaoge!$D16="TE0+Sim+10",[5]guodubiaoge!$AI16,
IF(guodubiaoge!$F16="TE0+Sim+10",[5]guodubiaoge!$AJ16,
IF(guodubiaoge!$H16="TE0+Sim+10",[5]guodubiaoge!$AK16,""))))</f>
        <v/>
      </c>
      <c r="BI16">
        <f>IF(guodubiaoge!$B16="TE0+SL+10",[5]guodubiaoge!$AH16,
IF(guodubiaoge!$D16="TE0+SL+10",[5]guodubiaoge!$AI16,
IF(guodubiaoge!$F16="TE0+SL+10",[5]guodubiaoge!$AJ16,
IF(guodubiaoge!$H16="TE0+SL+10",[5]guodubiaoge!$AK16,""))))</f>
        <v>-2.62711706102111E-2</v>
      </c>
      <c r="BJ16">
        <f>IF(guodubiaoge!$B16="TE0",[5]guodubiaoge!$AL16,
IF(guodubiaoge!$D16="TE0",[5]guodubiaoge!$AM16,
IF(guodubiaoge!$F16="TE0",[5]guodubiaoge!$AN16,
IF(guodubiaoge!$H16="TE0",[5]guodubiaoge!$AO16,""))))</f>
        <v>10.656681866420699</v>
      </c>
      <c r="BK16">
        <f>IF(guodubiaoge!$B16="TE0+HF+6",[5]guodubiaoge!$AL16,
IF(guodubiaoge!$D16="TE0+HF+6",[5]guodubiaoge!$AM16,
IF(guodubiaoge!$F16="TE0+HF+6",[5]guodubiaoge!$AN16,
IF(guodubiaoge!$H16="TE0+HF+6",[5]guodubiaoge!$AO16,""))))</f>
        <v>12.5156756332829</v>
      </c>
      <c r="BL16" t="str">
        <f>IF(guodubiaoge!$B16="TE0+Sim+10",[5]guodubiaoge!$AL16,
IF(guodubiaoge!$D16="TE0+Sim+10",[5]guodubiaoge!$AM16,
IF(guodubiaoge!$F16="TE0+Sim+10",[5]guodubiaoge!$AN16,
IF(guodubiaoge!$H16="TE0+Sim+10",[5]guodubiaoge!$AO16,""))))</f>
        <v/>
      </c>
      <c r="BM16">
        <f>IF(guodubiaoge!$B16="TE0+SL+10",[5]guodubiaoge!$AL16,
IF(guodubiaoge!$D16="TE0+SL+10",[5]guodubiaoge!$AM16,
IF(guodubiaoge!$F16="TE0+SL+10",[5]guodubiaoge!$AN16,
IF(guodubiaoge!$H16="TE0+SL+10",[5]guodubiaoge!$AO16,""))))</f>
        <v>-6.5531154000085197</v>
      </c>
      <c r="BN16">
        <f>IF(guodubiaoge!$B16="TE0",[5]guodubiaoge!$AP16,
IF(guodubiaoge!$D16="TE0",[5]guodubiaoge!$AQ16,
IF(guodubiaoge!$F16="TE0",[5]guodubiaoge!$AR16,
IF(guodubiaoge!$H16="TE0",[5]guodubiaoge!$AS16,""))))</f>
        <v>-6.5117587672381898</v>
      </c>
      <c r="BO16">
        <f>IF(guodubiaoge!$B16="TE0+HF+6",[5]guodubiaoge!$AP16,
IF(guodubiaoge!$D16="TE0+HF+6",[5]guodubiaoge!$AQ16,
IF(guodubiaoge!$F16="TE0+HF+6",[5]guodubiaoge!$AR16,
IF(guodubiaoge!$H16="TE0+HF+6",[5]guodubiaoge!$AS16,""))))</f>
        <v>-27.3666751422613</v>
      </c>
      <c r="BP16" t="str">
        <f>IF(guodubiaoge!$B16="TE0+Sim+10",[5]guodubiaoge!$AP16,
IF(guodubiaoge!$D16="TE0+Sim+10",[5]guodubiaoge!$AQ16,
IF(guodubiaoge!$F16="TE0+Sim+10",[5]guodubiaoge!$AR16,
IF(guodubiaoge!$H16="TE0+Sim+10",[5]guodubiaoge!$AS16,""))))</f>
        <v/>
      </c>
      <c r="BQ16">
        <f>IF(guodubiaoge!$B16="TE0+SL+10",[5]guodubiaoge!$AP16,
IF(guodubiaoge!$D16="TE0+SL+10",[5]guodubiaoge!$AQ16,
IF(guodubiaoge!$F16="TE0+SL+10",[5]guodubiaoge!$AR16,
IF(guodubiaoge!$H16="TE0+SL+10",[5]guodubiaoge!$AS16,""))))</f>
        <v>-33.402286379982002</v>
      </c>
      <c r="BR16">
        <f t="shared" si="22"/>
        <v>-7.7297080602556564E-2</v>
      </c>
      <c r="BS16" s="26">
        <f t="shared" si="23"/>
        <v>-3.737495123027625</v>
      </c>
      <c r="BT16" s="26" t="str">
        <f t="shared" si="24"/>
        <v/>
      </c>
      <c r="BU16" s="26">
        <f t="shared" si="25"/>
        <v>0.30826088584784928</v>
      </c>
      <c r="BV16" s="26">
        <f t="shared" si="26"/>
        <v>-0.17372359975683541</v>
      </c>
      <c r="BW16">
        <f t="shared" si="27"/>
        <v>-1.75571174918957</v>
      </c>
      <c r="BX16" t="str">
        <f t="shared" si="28"/>
        <v/>
      </c>
      <c r="BY16">
        <f t="shared" si="29"/>
        <v>-0.76595174734733329</v>
      </c>
      <c r="BZ16">
        <f t="shared" si="30"/>
        <v>0.28845066422714594</v>
      </c>
      <c r="CA16">
        <f t="shared" si="31"/>
        <v>-3.6228125642855193E-2</v>
      </c>
      <c r="CB16" t="str">
        <f t="shared" si="32"/>
        <v/>
      </c>
      <c r="CC16">
        <f t="shared" si="33"/>
        <v>0.11241334842710071</v>
      </c>
      <c r="CD16">
        <f t="shared" si="34"/>
        <v>1.8360747401587406E-2</v>
      </c>
      <c r="CE16">
        <f t="shared" si="35"/>
        <v>-0.27955260639006602</v>
      </c>
      <c r="CF16" t="str">
        <f t="shared" si="36"/>
        <v/>
      </c>
      <c r="CG16">
        <f t="shared" si="37"/>
        <v>-0.16023930378042173</v>
      </c>
      <c r="CH16">
        <f t="shared" si="38"/>
        <v>-0.25102068035939196</v>
      </c>
      <c r="CI16">
        <f t="shared" si="39"/>
        <v>-5.4932068722171952</v>
      </c>
      <c r="CJ16" t="str">
        <f t="shared" si="40"/>
        <v/>
      </c>
      <c r="CK16">
        <f t="shared" si="41"/>
        <v>-0.45769086149948401</v>
      </c>
      <c r="CL16">
        <f t="shared" si="42"/>
        <v>0.23403016107984642</v>
      </c>
      <c r="CM16">
        <f t="shared" si="43"/>
        <v>-0.15015113626413631</v>
      </c>
      <c r="CN16" t="str">
        <f t="shared" si="44"/>
        <v/>
      </c>
      <c r="CO16">
        <f t="shared" si="45"/>
        <v>0.20900824420910349</v>
      </c>
      <c r="CP16">
        <f>IF(AA16="","",(AA16-AVERAGE($AA$2:AA$26))/_xlfn.STDEV.S($AA$2:$AA$26))</f>
        <v>-5.4420503147299515E-2</v>
      </c>
      <c r="CQ16">
        <f>IF(L16="","",(L16-AVERAGE($L$2:L$26))/_xlfn.STDEV.S($L$2:$L$26))</f>
        <v>0.34210233390933026</v>
      </c>
      <c r="CR16">
        <f t="shared" si="46"/>
        <v>0.36046308131091764</v>
      </c>
      <c r="CS16">
        <f>IF(B16="","",(B16-AVERAGE($B$2:B$26))/_xlfn.STDEV.S($B$2:$B$26))</f>
        <v>-7.1892974047615674E-2</v>
      </c>
      <c r="CT16">
        <f>IF(G16="","",(G16-AVERAGE($G$2:G$26))/_xlfn.STDEV.S($G$2:$G$26))</f>
        <v>0.38768012256312379</v>
      </c>
      <c r="CU16">
        <f t="shared" si="47"/>
        <v>0.3157871485155081</v>
      </c>
    </row>
    <row r="17" spans="1:99">
      <c r="A17">
        <v>16</v>
      </c>
      <c r="B17" s="21">
        <f>IF(guodubiaoge!$B17="Te0",[5]guodubiaoge!$C17,
IF(guodubiaoge!$D17="Te0",[5]guodubiaoge!$E17,
IF(guodubiaoge!$F17="Te0",[5]guodubiaoge!$G17,
IF(guodubiaoge!$H17="Te0",[5]guodubiaoge!$I17,""))))</f>
        <v>6.0563077675614E-4</v>
      </c>
      <c r="C17">
        <f>IF(guodubiaoge!$B17="Te0+HF+6",[5]guodubiaoge!$C17,
IF(guodubiaoge!$D17="Te0+HF+6",[5]guodubiaoge!$E17,
IF(guodubiaoge!$F17="Te0+HF+6",[5]guodubiaoge!$G17,
IF(guodubiaoge!$H17="Te0+HF+6",[5]guodubiaoge!$I17,""))))</f>
        <v>-2.5792177259411899E-3</v>
      </c>
      <c r="D17">
        <f>IF(guodubiaoge!$B17="Te0+Sim+10",[5]guodubiaoge!$C17,
IF(guodubiaoge!$D17="Te0+Sim+10",[5]guodubiaoge!$E17,
IF(guodubiaoge!$F17="Te0+Sim+10",[5]guodubiaoge!$G17,
IF(guodubiaoge!$H17="Te0+Sim+10",[5]guodubiaoge!$I17,""))))</f>
        <v>3.34479199375375E-3</v>
      </c>
      <c r="E17" t="str">
        <f>IF(guodubiaoge!$B17="Te0+SL+10",[5]guodubiaoge!$C17,
IF(guodubiaoge!$D17="Te0+SL+10",[5]guodubiaoge!$E17,
IF(guodubiaoge!$F17="Te0+SL+10",[5]guodubiaoge!$G17,
IF(guodubiaoge!$H17="Te0+SL+10",[5]guodubiaoge!$I17,""))))</f>
        <v/>
      </c>
      <c r="F17">
        <f>IF(guodubiaoge!$B17="Te0-10",[5]guodubiaoge!$C17,
IF(guodubiaoge!$D17="Te0-10",[5]guodubiaoge!$E17,
IF(guodubiaoge!$F17="Te0-10",[5]guodubiaoge!$G17,
IF(guodubiaoge!$H17="Te0-10",[5]guodubiaoge!$I17,""))))</f>
        <v>1.9146120717684399E-3</v>
      </c>
      <c r="G17">
        <f>IF(guodubiaoge!$B17="Te0",[5]guodubiaoge!$J17,
IF(guodubiaoge!$D17="Te0",[5]guodubiaoge!$K17,
IF(guodubiaoge!$F17="Te0",[5]guodubiaoge!$L17,
IF(guodubiaoge!$H17="Te0",[5]guodubiaoge!$M17,""))))</f>
        <v>-4.2823811974619904E-3</v>
      </c>
      <c r="H17">
        <f>IF(guodubiaoge!$B17="Te0+HF+6",[5]guodubiaoge!$J17,
IF(guodubiaoge!$D17="Te0+HF+6",[5]guodubiaoge!$K17,
IF(guodubiaoge!$F17="Te0+HF+6",[5]guodubiaoge!$L17,
IF(guodubiaoge!$H17="Te0+HF+6",[5]guodubiaoge!$M17,""))))</f>
        <v>6.1499999999999E-2</v>
      </c>
      <c r="I17">
        <f>IF(guodubiaoge!$B17="Te0+Sim+10",[5]guodubiaoge!$J17,
IF(guodubiaoge!$D17="Te0+Sim+10",[5]guodubiaoge!$K17,
IF(guodubiaoge!$F17="Te0+Sim+10",[5]guodubiaoge!$L17,
IF(guodubiaoge!$H17="Te0+Sim+10",[5]guodubiaoge!$M17,""))))</f>
        <v>-1.12638580931261E-2</v>
      </c>
      <c r="J17" t="str">
        <f>IF(guodubiaoge!$B17="Te0+SL+10",[5]guodubiaoge!$J17,
IF(guodubiaoge!$D17="Te0+SL+10",[5]guodubiaoge!$K17,
IF(guodubiaoge!$F17="Te0+SL+10",[5]guodubiaoge!$L17,
IF(guodubiaoge!$H17="Te0+SL+10",[5]guodubiaoge!$M17,""))))</f>
        <v/>
      </c>
      <c r="K17">
        <f>IF(guodubiaoge!$B17="Te0-10",[5]guodubiaoge!$J17,
IF(guodubiaoge!$D17="Te0-10",[5]guodubiaoge!$K17,
IF(guodubiaoge!$F17="Te0-10",[5]guodubiaoge!$L17,
IF(guodubiaoge!$H17="Te0-10",[5]guodubiaoge!$M17,""))))</f>
        <v>-4.2765517241379801E-2</v>
      </c>
      <c r="L17">
        <f>IF(guodubiaoge!$B17="Te0",[5]guodubiaoge!$N17,
IF(guodubiaoge!$D17="Te0",[5]guodubiaoge!$O17,
IF(guodubiaoge!$F17="Te0",[5]guodubiaoge!$P17,
IF(guodubiaoge!$H17="Te0",[5]guodubiaoge!$Q17,""))))</f>
        <v>-3.5427852236907101E-2</v>
      </c>
      <c r="M17">
        <f>IF(guodubiaoge!$B17="Te0+HF+6",[5]guodubiaoge!$N17,
IF(guodubiaoge!$D17="Te0+HF+6",[5]guodubiaoge!$O17,
IF(guodubiaoge!$F17="Te0+HF+6",[5]guodubiaoge!$P17,
IF(guodubiaoge!$H17="Te0+HF+6",[5]guodubiaoge!$Q17,""))))</f>
        <v>-771.636998020997</v>
      </c>
      <c r="N17">
        <f>IF(guodubiaoge!$B17="Te0+Sim+10",[5]guodubiaoge!$N17,
IF(guodubiaoge!$D17="Te0+Sim+10",[5]guodubiaoge!$O17,
IF(guodubiaoge!$F17="Te0+Sim+10",[5]guodubiaoge!$P17,
IF(guodubiaoge!$H17="Te0+Sim+10",[5]guodubiaoge!$Q17,""))))</f>
        <v>19.3150244707494</v>
      </c>
      <c r="O17" t="str">
        <f>IF(guodubiaoge!$B17="Te0+SL+10",[5]guodubiaoge!$N17,
IF(guodubiaoge!$D17="Te0+SL+10",[5]guodubiaoge!$O17,
IF(guodubiaoge!$F17="Te0+SL+10",[5]guodubiaoge!$P17,
IF(guodubiaoge!$H17="Te0+SL+10",[5]guodubiaoge!$Q17,""))))</f>
        <v/>
      </c>
      <c r="P17">
        <f>IF(guodubiaoge!$B17="Te0-10",[5]guodubiaoge!$N17,
IF(guodubiaoge!$D17="Te0-10",[5]guodubiaoge!$O17,
IF(guodubiaoge!$F17="Te0-10",[5]guodubiaoge!$P17,
IF(guodubiaoge!$H17="Te0-10",[5]guodubiaoge!$Q17,""))))</f>
        <v>262.01476246178902</v>
      </c>
      <c r="Q17">
        <f>IF(guodubiaoge!$B17="Te0",[5]guodubiaoge!$R17,
IF(guodubiaoge!$D17="Te0",[5]guodubiaoge!$S17,
IF(guodubiaoge!$F17="Te0",[5]guodubiaoge!$T17,
IF(guodubiaoge!$H17="Te0",[5]guodubiaoge!$U17,""))))</f>
        <v>5</v>
      </c>
      <c r="R17">
        <f>IF(guodubiaoge!$B17="Te0+HF+6",[5]guodubiaoge!$R17,
IF(guodubiaoge!$D17="Te0+HF+6",[5]guodubiaoge!$S17,
IF(guodubiaoge!$F17="Te0+HF+6",[5]guodubiaoge!$T17,
IF(guodubiaoge!$H17="Te0+HF+6",[5]guodubiaoge!$U17,""))))</f>
        <v>5</v>
      </c>
      <c r="S17">
        <f>IF(guodubiaoge!$B17="Te0+Sim+10",[5]guodubiaoge!$R17,
IF(guodubiaoge!$D17="Te0+Sim+10",[5]guodubiaoge!$S17,
IF(guodubiaoge!$F17="Te0+Sim+10",[5]guodubiaoge!$T17,
IF(guodubiaoge!$H17="Te0+Sim+10",[5]guodubiaoge!$U17,""))))</f>
        <v>4</v>
      </c>
      <c r="T17" t="str">
        <f>IF(guodubiaoge!$B17="Te0+SL+10",[5]guodubiaoge!$R17,
IF(guodubiaoge!$D17="Te0+SL+10",[5]guodubiaoge!$S17,
IF(guodubiaoge!$F17="Te0+SL+10",[5]guodubiaoge!$T17,
IF(guodubiaoge!$H17="Te0+SL+10",[5]guodubiaoge!$U17,""))))</f>
        <v/>
      </c>
      <c r="U17">
        <f>IF(guodubiaoge!$B17="Te0-10",[5]guodubiaoge!$R17,
IF(guodubiaoge!$D17="Te0-10",[5]guodubiaoge!$S17,
IF(guodubiaoge!$F17="Te0-10",[5]guodubiaoge!$T17,
IF(guodubiaoge!$H17="Te0-10",[5]guodubiaoge!$U17,""))))</f>
        <v>6</v>
      </c>
      <c r="V17">
        <f>IF(guodubiaoge!$B17="Te0",[5]guodubiaoge!$V17,
IF(guodubiaoge!$D17="Te0",[5]guodubiaoge!$W17,
IF(guodubiaoge!$F17="Te0",[5]guodubiaoge!$X17,
IF(guodubiaoge!$H17="Te0",[5]guodubiaoge!$Y17,""))))</f>
        <v>6</v>
      </c>
      <c r="W17">
        <f>IF(guodubiaoge!$B17="Te0+HF+6",[5]guodubiaoge!$V17,
IF(guodubiaoge!$D17="Te0+HF+6",[5]guodubiaoge!$W17,
IF(guodubiaoge!$F17="Te0+HF+6",[5]guodubiaoge!$X17,
IF(guodubiaoge!$H17="Te0+HF+6",[5]guodubiaoge!$Y17,""))))</f>
        <v>6</v>
      </c>
      <c r="X17">
        <f>IF(guodubiaoge!$B17="Te0+Sim+10",[5]guodubiaoge!$V17,
IF(guodubiaoge!$D17="Te0+Sim+10",[5]guodubiaoge!$W17,
IF(guodubiaoge!$F17="Te0+Sim+10",[5]guodubiaoge!$X17,
IF(guodubiaoge!$H17="Te0+Sim+10",[5]guodubiaoge!$Y17,""))))</f>
        <v>5</v>
      </c>
      <c r="Y17" t="str">
        <f>IF(guodubiaoge!$B17="Te0+SL+10",[5]guodubiaoge!$U17,
IF(guodubiaoge!$D17="Te0+SL+10",[5]guodubiaoge!$W17,
IF(guodubiaoge!$F17="Te0+SL+10",[5]guodubiaoge!$X17,
IF(guodubiaoge!$H17="Te0+SL+10",[5]guodubiaoge!$Y17,""))))</f>
        <v/>
      </c>
      <c r="Z17">
        <f>IF(guodubiaoge!$B17="Te0-10",[5]guodubiaoge!$U17,
IF(guodubiaoge!$D17="Te0-10",[5]guodubiaoge!$W17,
IF(guodubiaoge!$F17="Te0-10",[5]guodubiaoge!$X17,
IF(guodubiaoge!$H17="Te0-10",[5]guodubiaoge!$Y17,""))))</f>
        <v>5</v>
      </c>
      <c r="AA17">
        <f>IF(guodubiaoge!$B17="Te0",[5]guodubiaoge!$Z17,
IF(guodubiaoge!$D17="Te0",[5]guodubiaoge!$AA17,
IF(guodubiaoge!$F17="Te0",[5]guodubiaoge!$AB17,
IF(guodubiaoge!$H17="Te0",[5]guodubiaoge!$AC17,""))))</f>
        <v>12.2294349709024</v>
      </c>
      <c r="AB17">
        <f>IF(guodubiaoge!$B17="Te0+HF+6",[5]guodubiaoge!$Z17,
IF(guodubiaoge!$D17="Te0+HF+6",[5]guodubiaoge!$AA17,
IF(guodubiaoge!$F17="Te0+HF+6",[5]guodubiaoge!$AB17,
IF(guodubiaoge!$H17="Te0+HF+6",[5]guodubiaoge!$AC17,""))))</f>
        <v>10.4122953080934</v>
      </c>
      <c r="AC17">
        <f>IF(guodubiaoge!$B17="Te0+Sim+10",[5]guodubiaoge!$Z17,
IF(guodubiaoge!$D17="Te0+Sim+10",[5]guodubiaoge!$AA17,
IF(guodubiaoge!$F17="Te0+Sim+10",[5]guodubiaoge!$AB17,
IF(guodubiaoge!$H17="Te0+Sim+10",[5]guodubiaoge!$AC17,""))))</f>
        <v>-12.7976518300968</v>
      </c>
      <c r="AD17" t="str">
        <f>IF(guodubiaoge!$B17="Te0+SL+10",[5]guodubiaoge!$Z17,
IF(guodubiaoge!$D17="Te0+SL+10",[5]guodubiaoge!$AA17,
IF(guodubiaoge!$F17="Te0+SL+10",[5]guodubiaoge!$AB17,
IF(guodubiaoge!$H17="Te0+SL+10",[5]guodubiaoge!$AC17,""))))</f>
        <v/>
      </c>
      <c r="AE17">
        <f>IF(guodubiaoge!$B17="Te0-10",[5]guodubiaoge!$Z17,
IF(guodubiaoge!$D17="Te0-10",[5]guodubiaoge!$AA17,
IF(guodubiaoge!$F17="Te0-10",[5]guodubiaoge!$AB17,
IF(guodubiaoge!$H17="Te0-10",[5]guodubiaoge!$AC17,""))))</f>
        <v>-8.17120719540954</v>
      </c>
      <c r="AF17">
        <f t="shared" si="0"/>
        <v>-1.0111903559558757</v>
      </c>
      <c r="AG17">
        <f t="shared" si="1"/>
        <v>0.52934059874377104</v>
      </c>
      <c r="AH17" t="str">
        <f t="shared" si="2"/>
        <v/>
      </c>
      <c r="AI17">
        <f t="shared" si="3"/>
        <v>1.9349433790200345</v>
      </c>
      <c r="AJ17">
        <f t="shared" si="4"/>
        <v>2.3605039682542881E-2</v>
      </c>
      <c r="AK17" t="str">
        <f t="shared" si="5"/>
        <v/>
      </c>
      <c r="AL17">
        <f t="shared" si="6"/>
        <v>0.92375302306415885</v>
      </c>
      <c r="AM17">
        <f t="shared" si="7"/>
        <v>0.55294563842631395</v>
      </c>
      <c r="AN17" t="str">
        <f t="shared" si="8"/>
        <v/>
      </c>
      <c r="AO17">
        <f t="shared" si="9"/>
        <v>-3.155187230445331</v>
      </c>
      <c r="AP17">
        <f t="shared" si="10"/>
        <v>-0.33681200887023416</v>
      </c>
      <c r="AQ17" t="str">
        <f t="shared" si="11"/>
        <v/>
      </c>
      <c r="AR17">
        <f t="shared" si="12"/>
        <v>2.7292918061876028E-2</v>
      </c>
      <c r="AS17">
        <f t="shared" si="13"/>
        <v>-0.27258722014357961</v>
      </c>
      <c r="AT17" t="str">
        <f t="shared" si="14"/>
        <v/>
      </c>
      <c r="AU17">
        <f t="shared" si="15"/>
        <v>-6.0750711709074494</v>
      </c>
      <c r="AV17">
        <f t="shared" si="16"/>
        <v>-0.20485635657026047</v>
      </c>
      <c r="AW17" t="str">
        <f t="shared" si="17"/>
        <v/>
      </c>
      <c r="AX17" s="21">
        <f t="shared" si="18"/>
        <v>-0.14142383613935983</v>
      </c>
      <c r="AY17">
        <f t="shared" si="19"/>
        <v>-4.1938499608800521E-2</v>
      </c>
      <c r="AZ17">
        <f t="shared" si="20"/>
        <v>-0.2969490529887755</v>
      </c>
      <c r="BA17" t="str">
        <f t="shared" si="21"/>
        <v/>
      </c>
      <c r="BB17">
        <f>IF(guodubiaoge!$B17="TE0",[5]guodubiaoge!$AD17,
IF(guodubiaoge!$D17="TE0",[5]guodubiaoge!$AE17,
IF(guodubiaoge!$F17="TE0",[5]guodubiaoge!$AF17,
IF(guodubiaoge!$H17="TE0",[5]guodubiaoge!$AG17,""))))</f>
        <v>3.6408609090872101E-3</v>
      </c>
      <c r="BC17">
        <f>IF(guodubiaoge!$B17="TE0+HF+6",[5]guodubiaoge!$AD17,
IF(guodubiaoge!$D17="TE0+HF+6",[5]guodubiaoge!$AE17,
IF(guodubiaoge!$F17="TE0+HF+6",[5]guodubiaoge!$AF17,
IF(guodubiaoge!$H17="TE0+HF+6",[5]guodubiaoge!$AG17,""))))</f>
        <v>1.47937045085958E-3</v>
      </c>
      <c r="BD17">
        <f>IF(guodubiaoge!$B17="TE0+Sim+10",[5]guodubiaoge!$AD17,
IF(guodubiaoge!$D17="TE0+Sim+10",[5]guodubiaoge!$AE17,
IF(guodubiaoge!$F17="TE0+Sim+10",[5]guodubiaoge!$AF17,
IF(guodubiaoge!$H17="TE0+Sim+10",[5]guodubiaoge!$AG17,""))))</f>
        <v>-1.3538428525633999E-3</v>
      </c>
      <c r="BE17" t="str">
        <f>IF(guodubiaoge!$B17="TE0+SL+10",[5]guodubiaoge!$AD17,
IF(guodubiaoge!$D17="TE0+SL+10",[5]guodubiaoge!$AE17,
IF(guodubiaoge!$F17="TE0+SL+10",[5]guodubiaoge!$AF17,
IF(guodubiaoge!$H17="TE0+SL+10",[5]guodubiaoge!$AG17,""))))</f>
        <v/>
      </c>
      <c r="BF17">
        <f>IF(guodubiaoge!$B17="TE0",[5]guodubiaoge!$AH17,
IF(guodubiaoge!$D17="TE0",[5]guodubiaoge!$AI17,
IF(guodubiaoge!$F17="TE0",[5]guodubiaoge!$AJ17,
IF(guodubiaoge!$H17="TE0",[5]guodubiaoge!$AK17,""))))</f>
        <v>4.7329597701148501E-2</v>
      </c>
      <c r="BG17">
        <f>IF(guodubiaoge!$B17="TE0+HF+6",[5]guodubiaoge!$AH17,
IF(guodubiaoge!$D17="TE0+HF+6",[5]guodubiaoge!$AI17,
IF(guodubiaoge!$F17="TE0+HF+6",[5]guodubiaoge!$AJ17,
IF(guodubiaoge!$H17="TE0+HF+6",[5]guodubiaoge!$AK17,""))))</f>
        <v>4.3639325842697002E-2</v>
      </c>
      <c r="BH17">
        <f>IF(guodubiaoge!$B17="TE0+Sim+10",[5]guodubiaoge!$AH17,
IF(guodubiaoge!$D17="TE0+Sim+10",[5]guodubiaoge!$AI17,
IF(guodubiaoge!$F17="TE0+Sim+10",[5]guodubiaoge!$AJ17,
IF(guodubiaoge!$H17="TE0+Sim+10",[5]guodubiaoge!$AK17,""))))</f>
        <v>4.6070813771518601E-2</v>
      </c>
      <c r="BI17" t="str">
        <f>IF(guodubiaoge!$B17="TE0+SL+10",[5]guodubiaoge!$AH17,
IF(guodubiaoge!$D17="TE0+SL+10",[5]guodubiaoge!$AI17,
IF(guodubiaoge!$F17="TE0+SL+10",[5]guodubiaoge!$AJ17,
IF(guodubiaoge!$H17="TE0+SL+10",[5]guodubiaoge!$AK17,""))))</f>
        <v/>
      </c>
      <c r="BJ17">
        <f>IF(guodubiaoge!$B17="TE0",[5]guodubiaoge!$AL17,
IF(guodubiaoge!$D17="TE0",[5]guodubiaoge!$AM17,
IF(guodubiaoge!$F17="TE0",[5]guodubiaoge!$AN17,
IF(guodubiaoge!$H17="TE0",[5]guodubiaoge!$AO17,""))))</f>
        <v>-2.6354356851012501</v>
      </c>
      <c r="BK17">
        <f>IF(guodubiaoge!$B17="TE0+HF+6",[5]guodubiaoge!$AL17,
IF(guodubiaoge!$D17="TE0+HF+6",[5]guodubiaoge!$AM17,
IF(guodubiaoge!$F17="TE0+HF+6",[5]guodubiaoge!$AN17,
IF(guodubiaoge!$H17="TE0+HF+6",[5]guodubiaoge!$AO17,""))))</f>
        <v>-1.31328128607707</v>
      </c>
      <c r="BL17">
        <f>IF(guodubiaoge!$B17="TE0+Sim+10",[5]guodubiaoge!$AL17,
IF(guodubiaoge!$D17="TE0+Sim+10",[5]guodubiaoge!$AM17,
IF(guodubiaoge!$F17="TE0+Sim+10",[5]guodubiaoge!$AN17,
IF(guodubiaoge!$H17="TE0+Sim+10",[5]guodubiaoge!$AO17,""))))</f>
        <v>7.2020831216508796</v>
      </c>
      <c r="BM17" t="str">
        <f>IF(guodubiaoge!$B17="TE0+SL+10",[5]guodubiaoge!$AL17,
IF(guodubiaoge!$D17="TE0+SL+10",[5]guodubiaoge!$AM17,
IF(guodubiaoge!$F17="TE0+SL+10",[5]guodubiaoge!$AN17,
IF(guodubiaoge!$H17="TE0+SL+10",[5]guodubiaoge!$AO17,""))))</f>
        <v/>
      </c>
      <c r="BN17">
        <f>IF(guodubiaoge!$B17="TE0",[5]guodubiaoge!$AP17,
IF(guodubiaoge!$D17="TE0",[5]guodubiaoge!$AQ17,
IF(guodubiaoge!$F17="TE0",[5]guodubiaoge!$AR17,
IF(guodubiaoge!$H17="TE0",[5]guodubiaoge!$AS17,""))))</f>
        <v>-9.2830293085165501</v>
      </c>
      <c r="BO17">
        <f>IF(guodubiaoge!$B17="TE0+HF+6",[5]guodubiaoge!$AP17,
IF(guodubiaoge!$D17="TE0+HF+6",[5]guodubiaoge!$AQ17,
IF(guodubiaoge!$F17="TE0+HF+6",[5]guodubiaoge!$AR17,
IF(guodubiaoge!$H17="TE0+HF+6",[5]guodubiaoge!$AS17,""))))</f>
        <v>-517.32573050920496</v>
      </c>
      <c r="BP17">
        <f>IF(guodubiaoge!$B17="TE0+Sim+10",[5]guodubiaoge!$AP17,
IF(guodubiaoge!$D17="TE0+Sim+10",[5]guodubiaoge!$AQ17,
IF(guodubiaoge!$F17="TE0+Sim+10",[5]guodubiaoge!$AR17,
IF(guodubiaoge!$H17="TE0+Sim+10",[5]guodubiaoge!$AS17,""))))</f>
        <v>-2.4574218590350601</v>
      </c>
      <c r="BQ17" t="str">
        <f>IF(guodubiaoge!$B17="TE0+SL+10",[5]guodubiaoge!$AP17,
IF(guodubiaoge!$D17="TE0+SL+10",[5]guodubiaoge!$AQ17,
IF(guodubiaoge!$F17="TE0+SL+10",[5]guodubiaoge!$AR17,
IF(guodubiaoge!$H17="TE0+SL+10",[5]guodubiaoge!$AS17,""))))</f>
        <v/>
      </c>
      <c r="BR17">
        <f t="shared" si="22"/>
        <v>1.0027239897303735</v>
      </c>
      <c r="BS17" s="26">
        <f t="shared" si="23"/>
        <v>0.31026785257769474</v>
      </c>
      <c r="BT17" s="26">
        <f t="shared" si="24"/>
        <v>-0.30436296535688639</v>
      </c>
      <c r="BU17" s="26" t="str">
        <f t="shared" si="25"/>
        <v/>
      </c>
      <c r="BV17" s="26">
        <f t="shared" si="26"/>
        <v>0.62752211390696566</v>
      </c>
      <c r="BW17">
        <f t="shared" si="27"/>
        <v>0.81560085922168202</v>
      </c>
      <c r="BX17">
        <f t="shared" si="28"/>
        <v>0.722990137123113</v>
      </c>
      <c r="BY17" t="str">
        <f t="shared" si="29"/>
        <v/>
      </c>
      <c r="BZ17">
        <f t="shared" si="30"/>
        <v>0.2225712194475318</v>
      </c>
      <c r="CA17">
        <f t="shared" si="31"/>
        <v>-9.1723685557056317E-2</v>
      </c>
      <c r="CB17">
        <f t="shared" si="32"/>
        <v>0.54680397865340913</v>
      </c>
      <c r="CC17" t="str">
        <f t="shared" si="33"/>
        <v/>
      </c>
      <c r="CD17">
        <f t="shared" si="34"/>
        <v>6.4861249566145797E-4</v>
      </c>
      <c r="CE17">
        <f t="shared" si="35"/>
        <v>-2.9198839404621184</v>
      </c>
      <c r="CF17">
        <f t="shared" si="36"/>
        <v>0.13195565229997369</v>
      </c>
      <c r="CG17" t="str">
        <f t="shared" si="37"/>
        <v/>
      </c>
      <c r="CH17">
        <f t="shared" si="38"/>
        <v>1.6302461036373392</v>
      </c>
      <c r="CI17">
        <f t="shared" si="39"/>
        <v>1.1258687117993769</v>
      </c>
      <c r="CJ17">
        <f t="shared" si="40"/>
        <v>0.4186271717662266</v>
      </c>
      <c r="CK17" t="str">
        <f t="shared" si="41"/>
        <v/>
      </c>
      <c r="CL17">
        <f t="shared" si="42"/>
        <v>0.41993287412030089</v>
      </c>
      <c r="CM17">
        <f t="shared" si="43"/>
        <v>-6.4430767495180286E-2</v>
      </c>
      <c r="CN17">
        <f t="shared" si="44"/>
        <v>0.27421675850982952</v>
      </c>
      <c r="CO17" t="str">
        <f t="shared" si="45"/>
        <v/>
      </c>
      <c r="CP17">
        <f>IF(AA17="","",(AA17-AVERAGE($AA$2:AA$26))/_xlfn.STDEV.S($AA$2:$AA$26))</f>
        <v>0.19736165467276909</v>
      </c>
      <c r="CQ17">
        <f>IF(L17="","",(L17-AVERAGE($L$2:L$26))/_xlfn.STDEV.S($L$2:$L$26))</f>
        <v>0.18053400141781945</v>
      </c>
      <c r="CR17">
        <f t="shared" si="46"/>
        <v>0.18118261391348089</v>
      </c>
      <c r="CS17">
        <f>IF(B17="","",(B17-AVERAGE($B$2:B$26))/_xlfn.STDEV.S($B$2:$B$26))</f>
        <v>-5.8930245641800029E-2</v>
      </c>
      <c r="CT17">
        <f>IF(G17="","",(G17-AVERAGE($G$2:G$26))/_xlfn.STDEV.S($G$2:$G$26))</f>
        <v>-0.36176706914550039</v>
      </c>
      <c r="CU17">
        <f t="shared" si="47"/>
        <v>-0.42069731478730044</v>
      </c>
    </row>
    <row r="18" spans="1:99">
      <c r="A18">
        <v>17</v>
      </c>
      <c r="B18" s="21">
        <f>IF(guodubiaoge!$B18="Te0",[5]guodubiaoge!$C18,
IF(guodubiaoge!$D18="Te0",[5]guodubiaoge!$E18,
IF(guodubiaoge!$F18="Te0",[5]guodubiaoge!$G18,
IF(guodubiaoge!$H18="Te0",[5]guodubiaoge!$I18,""))))</f>
        <v>3.6951948754316302E-4</v>
      </c>
      <c r="C18">
        <f>IF(guodubiaoge!$B18="Te0+HF+6",[5]guodubiaoge!$C18,
IF(guodubiaoge!$D18="Te0+HF+6",[5]guodubiaoge!$E18,
IF(guodubiaoge!$F18="Te0+HF+6",[5]guodubiaoge!$G18,
IF(guodubiaoge!$H18="Te0+HF+6",[5]guodubiaoge!$I18,""))))</f>
        <v>-2.3852770119484699E-3</v>
      </c>
      <c r="D18" t="str">
        <f>IF(guodubiaoge!$B18="Te0+Sim+10",[5]guodubiaoge!$C18,
IF(guodubiaoge!$D18="Te0+Sim+10",[5]guodubiaoge!$E18,
IF(guodubiaoge!$F18="Te0+Sim+10",[5]guodubiaoge!$G18,
IF(guodubiaoge!$H18="Te0+Sim+10",[5]guodubiaoge!$I18,""))))</f>
        <v/>
      </c>
      <c r="E18">
        <f>IF(guodubiaoge!$B18="Te0+SL+10",[5]guodubiaoge!$C18,
IF(guodubiaoge!$D18="Te0+SL+10",[5]guodubiaoge!$E18,
IF(guodubiaoge!$F18="Te0+SL+10",[5]guodubiaoge!$G18,
IF(guodubiaoge!$H18="Te0+SL+10",[5]guodubiaoge!$I18,""))))</f>
        <v>-3.2045702836679298E-4</v>
      </c>
      <c r="F18">
        <f>IF(guodubiaoge!$B18="Te0-10",[5]guodubiaoge!$C18,
IF(guodubiaoge!$D18="Te0-10",[5]guodubiaoge!$E18,
IF(guodubiaoge!$F18="Te0-10",[5]guodubiaoge!$G18,
IF(guodubiaoge!$H18="Te0-10",[5]guodubiaoge!$I18,""))))</f>
        <v>2.14531138748252E-3</v>
      </c>
      <c r="G18">
        <f>IF(guodubiaoge!$B18="Te0",[5]guodubiaoge!$J18,
IF(guodubiaoge!$D18="Te0",[5]guodubiaoge!$K18,
IF(guodubiaoge!$F18="Te0",[5]guodubiaoge!$L18,
IF(guodubiaoge!$H18="Te0",[5]guodubiaoge!$M18,""))))</f>
        <v>-4.9587589376914001E-2</v>
      </c>
      <c r="H18">
        <f>IF(guodubiaoge!$B18="Te0+HF+6",[5]guodubiaoge!$J18,
IF(guodubiaoge!$D18="Te0+HF+6",[5]guodubiaoge!$K18,
IF(guodubiaoge!$F18="Te0+HF+6",[5]guodubiaoge!$L18,
IF(guodubiaoge!$H18="Te0+HF+6",[5]guodubiaoge!$M18,""))))</f>
        <v>-3.1522388059701902E-2</v>
      </c>
      <c r="I18" t="str">
        <f>IF(guodubiaoge!$B18="Te0+Sim+10",[5]guodubiaoge!$J18,
IF(guodubiaoge!$D18="Te0+Sim+10",[5]guodubiaoge!$K18,
IF(guodubiaoge!$F18="Te0+Sim+10",[5]guodubiaoge!$L18,
IF(guodubiaoge!$H18="Te0+Sim+10",[5]guodubiaoge!$M18,""))))</f>
        <v/>
      </c>
      <c r="J18">
        <f>IF(guodubiaoge!$B18="Te0+SL+10",[5]guodubiaoge!$J18,
IF(guodubiaoge!$D18="Te0+SL+10",[5]guodubiaoge!$K18,
IF(guodubiaoge!$F18="Te0+SL+10",[5]guodubiaoge!$L18,
IF(guodubiaoge!$H18="Te0+SL+10",[5]guodubiaoge!$M18,""))))</f>
        <v>-2.3558510638297898E-2</v>
      </c>
      <c r="K18">
        <f>IF(guodubiaoge!$B18="Te0-10",[5]guodubiaoge!$J18,
IF(guodubiaoge!$D18="Te0-10",[5]guodubiaoge!$K18,
IF(guodubiaoge!$F18="Te0-10",[5]guodubiaoge!$L18,
IF(guodubiaoge!$H18="Te0-10",[5]guodubiaoge!$M18,""))))</f>
        <v>2.19194235178512E-2</v>
      </c>
      <c r="L18">
        <f>IF(guodubiaoge!$B18="Te0",[5]guodubiaoge!$N18,
IF(guodubiaoge!$D18="Te0",[5]guodubiaoge!$O18,
IF(guodubiaoge!$F18="Te0",[5]guodubiaoge!$P18,
IF(guodubiaoge!$H18="Te0",[5]guodubiaoge!$Q18,""))))</f>
        <v>119.61138557122</v>
      </c>
      <c r="M18">
        <f>IF(guodubiaoge!$B18="Te0+HF+6",[5]guodubiaoge!$N18,
IF(guodubiaoge!$D18="Te0+HF+6",[5]guodubiaoge!$O18,
IF(guodubiaoge!$F18="Te0+HF+6",[5]guodubiaoge!$P18,
IF(guodubiaoge!$H18="Te0+HF+6",[5]guodubiaoge!$Q18,""))))</f>
        <v>538.54073518796099</v>
      </c>
      <c r="N18" t="str">
        <f>IF(guodubiaoge!$B18="Te0+Sim+10",[5]guodubiaoge!$N18,
IF(guodubiaoge!$D18="Te0+Sim+10",[5]guodubiaoge!$O18,
IF(guodubiaoge!$F18="Te0+Sim+10",[5]guodubiaoge!$P18,
IF(guodubiaoge!$H18="Te0+Sim+10",[5]guodubiaoge!$Q18,""))))</f>
        <v/>
      </c>
      <c r="O18">
        <f>IF(guodubiaoge!$B18="Te0+SL+10",[5]guodubiaoge!$N18,
IF(guodubiaoge!$D18="Te0+SL+10",[5]guodubiaoge!$O18,
IF(guodubiaoge!$F18="Te0+SL+10",[5]guodubiaoge!$P18,
IF(guodubiaoge!$H18="Te0+SL+10",[5]guodubiaoge!$Q18,""))))</f>
        <v>141.81290036055299</v>
      </c>
      <c r="P18">
        <f>IF(guodubiaoge!$B18="Te0-10",[5]guodubiaoge!$N18,
IF(guodubiaoge!$D18="Te0-10",[5]guodubiaoge!$O18,
IF(guodubiaoge!$F18="Te0-10",[5]guodubiaoge!$P18,
IF(guodubiaoge!$H18="Te0-10",[5]guodubiaoge!$Q18,""))))</f>
        <v>91.747769432238997</v>
      </c>
      <c r="Q18">
        <f>IF(guodubiaoge!$B18="Te0",[5]guodubiaoge!$R18,
IF(guodubiaoge!$D18="Te0",[5]guodubiaoge!$S18,
IF(guodubiaoge!$F18="Te0",[5]guodubiaoge!$T18,
IF(guodubiaoge!$H18="Te0",[5]guodubiaoge!$U18,""))))</f>
        <v>5</v>
      </c>
      <c r="R18">
        <f>IF(guodubiaoge!$B18="Te0+HF+6",[5]guodubiaoge!$R18,
IF(guodubiaoge!$D18="Te0+HF+6",[5]guodubiaoge!$S18,
IF(guodubiaoge!$F18="Te0+HF+6",[5]guodubiaoge!$T18,
IF(guodubiaoge!$H18="Te0+HF+6",[5]guodubiaoge!$U18,""))))</f>
        <v>6</v>
      </c>
      <c r="S18" t="str">
        <f>IF(guodubiaoge!$B18="Te0+Sim+10",[5]guodubiaoge!$R18,
IF(guodubiaoge!$D18="Te0+Sim+10",[5]guodubiaoge!$S18,
IF(guodubiaoge!$F18="Te0+Sim+10",[5]guodubiaoge!$T18,
IF(guodubiaoge!$H18="Te0+Sim+10",[5]guodubiaoge!$U18,""))))</f>
        <v/>
      </c>
      <c r="T18">
        <f>IF(guodubiaoge!$B18="Te0+SL+10",[5]guodubiaoge!$R18,
IF(guodubiaoge!$D18="Te0+SL+10",[5]guodubiaoge!$S18,
IF(guodubiaoge!$F18="Te0+SL+10",[5]guodubiaoge!$T18,
IF(guodubiaoge!$H18="Te0+SL+10",[5]guodubiaoge!$U18,""))))</f>
        <v>5</v>
      </c>
      <c r="U18">
        <f>IF(guodubiaoge!$B18="Te0-10",[5]guodubiaoge!$R18,
IF(guodubiaoge!$D18="Te0-10",[5]guodubiaoge!$S18,
IF(guodubiaoge!$F18="Te0-10",[5]guodubiaoge!$T18,
IF(guodubiaoge!$H18="Te0-10",[5]guodubiaoge!$U18,""))))</f>
        <v>6</v>
      </c>
      <c r="V18">
        <f>IF(guodubiaoge!$B18="Te0",[5]guodubiaoge!$V18,
IF(guodubiaoge!$D18="Te0",[5]guodubiaoge!$W18,
IF(guodubiaoge!$F18="Te0",[5]guodubiaoge!$X18,
IF(guodubiaoge!$H18="Te0",[5]guodubiaoge!$Y18,""))))</f>
        <v>6</v>
      </c>
      <c r="W18">
        <f>IF(guodubiaoge!$B18="Te0+HF+6",[5]guodubiaoge!$V18,
IF(guodubiaoge!$D18="Te0+HF+6",[5]guodubiaoge!$W18,
IF(guodubiaoge!$F18="Te0+HF+6",[5]guodubiaoge!$X18,
IF(guodubiaoge!$H18="Te0+HF+6",[5]guodubiaoge!$Y18,""))))</f>
        <v>7</v>
      </c>
      <c r="X18" t="str">
        <f>IF(guodubiaoge!$B18="Te0+Sim+10",[5]guodubiaoge!$V18,
IF(guodubiaoge!$D18="Te0+Sim+10",[5]guodubiaoge!$W18,
IF(guodubiaoge!$F18="Te0+Sim+10",[5]guodubiaoge!$X18,
IF(guodubiaoge!$H18="Te0+Sim+10",[5]guodubiaoge!$Y18,""))))</f>
        <v/>
      </c>
      <c r="Y18">
        <f>IF(guodubiaoge!$B18="Te0+SL+10",[5]guodubiaoge!$U18,
IF(guodubiaoge!$D18="Te0+SL+10",[5]guodubiaoge!$W18,
IF(guodubiaoge!$F18="Te0+SL+10",[5]guodubiaoge!$X18,
IF(guodubiaoge!$H18="Te0+SL+10",[5]guodubiaoge!$Y18,""))))</f>
        <v>6</v>
      </c>
      <c r="Z18">
        <f>IF(guodubiaoge!$B18="Te0-10",[5]guodubiaoge!$U18,
IF(guodubiaoge!$D18="Te0-10",[5]guodubiaoge!$W18,
IF(guodubiaoge!$F18="Te0-10",[5]guodubiaoge!$X18,
IF(guodubiaoge!$H18="Te0-10",[5]guodubiaoge!$Y18,""))))</f>
        <v>7</v>
      </c>
      <c r="AA18">
        <f>IF(guodubiaoge!$B18="Te0",[5]guodubiaoge!$Z18,
IF(guodubiaoge!$D18="Te0",[5]guodubiaoge!$AA18,
IF(guodubiaoge!$F18="Te0",[5]guodubiaoge!$AB18,
IF(guodubiaoge!$H18="Te0",[5]guodubiaoge!$AC18,""))))</f>
        <v>58.448185654653102</v>
      </c>
      <c r="AB18">
        <f>IF(guodubiaoge!$B18="Te0+HF+6",[5]guodubiaoge!$Z18,
IF(guodubiaoge!$D18="Te0+HF+6",[5]guodubiaoge!$AA18,
IF(guodubiaoge!$F18="Te0+HF+6",[5]guodubiaoge!$AB18,
IF(guodubiaoge!$H18="Te0+HF+6",[5]guodubiaoge!$AC18,""))))</f>
        <v>-92.416487639035196</v>
      </c>
      <c r="AC18" t="str">
        <f>IF(guodubiaoge!$B18="Te0+Sim+10",[5]guodubiaoge!$Z18,
IF(guodubiaoge!$D18="Te0+Sim+10",[5]guodubiaoge!$AA18,
IF(guodubiaoge!$F18="Te0+Sim+10",[5]guodubiaoge!$AB18,
IF(guodubiaoge!$H18="Te0+Sim+10",[5]guodubiaoge!$AC18,""))))</f>
        <v/>
      </c>
      <c r="AD18">
        <f>IF(guodubiaoge!$B18="Te0+SL+10",[5]guodubiaoge!$Z18,
IF(guodubiaoge!$D18="Te0+SL+10",[5]guodubiaoge!$AA18,
IF(guodubiaoge!$F18="Te0+SL+10",[5]guodubiaoge!$AB18,
IF(guodubiaoge!$H18="Te0+SL+10",[5]guodubiaoge!$AC18,""))))</f>
        <v>8.8815838874422202</v>
      </c>
      <c r="AE18">
        <f>IF(guodubiaoge!$B18="Te0-10",[5]guodubiaoge!$Z18,
IF(guodubiaoge!$D18="Te0-10",[5]guodubiaoge!$AA18,
IF(guodubiaoge!$F18="Te0-10",[5]guodubiaoge!$AB18,
IF(guodubiaoge!$H18="Te0-10",[5]guodubiaoge!$AC18,""))))</f>
        <v>-20.624477788635399</v>
      </c>
      <c r="AF18">
        <f t="shared" si="0"/>
        <v>-0.95327224045430969</v>
      </c>
      <c r="AG18" t="str">
        <f t="shared" si="1"/>
        <v/>
      </c>
      <c r="AH18">
        <f t="shared" si="2"/>
        <v>5.4551748385608875E-2</v>
      </c>
      <c r="AI18">
        <f t="shared" si="3"/>
        <v>-0.3902218917016449</v>
      </c>
      <c r="AJ18" t="str">
        <f t="shared" si="4"/>
        <v/>
      </c>
      <c r="AK18">
        <f t="shared" si="5"/>
        <v>0.18393394140502145</v>
      </c>
      <c r="AL18">
        <f t="shared" si="6"/>
        <v>-1.3434941321559546</v>
      </c>
      <c r="AM18" t="str">
        <f t="shared" si="7"/>
        <v/>
      </c>
      <c r="AN18">
        <f t="shared" si="8"/>
        <v>0.23848568979063034</v>
      </c>
      <c r="AO18">
        <f t="shared" si="9"/>
        <v>2.0956285636709584</v>
      </c>
      <c r="AP18" t="str">
        <f t="shared" si="10"/>
        <v/>
      </c>
      <c r="AQ18">
        <f t="shared" si="11"/>
        <v>0.46069641033232867</v>
      </c>
      <c r="AR18">
        <f t="shared" si="12"/>
        <v>-0.62054148179479074</v>
      </c>
      <c r="AS18" t="str">
        <f t="shared" si="13"/>
        <v/>
      </c>
      <c r="AT18">
        <f t="shared" si="14"/>
        <v>0.39012348243184058</v>
      </c>
      <c r="AU18">
        <f t="shared" si="15"/>
        <v>4.0825420415661728</v>
      </c>
      <c r="AV18" t="str">
        <f t="shared" si="16"/>
        <v/>
      </c>
      <c r="AW18">
        <f t="shared" si="17"/>
        <v>0.98283744504254811</v>
      </c>
      <c r="AX18" s="21">
        <f t="shared" si="18"/>
        <v>-7.4518542277676545E-3</v>
      </c>
      <c r="AY18">
        <f t="shared" si="19"/>
        <v>7.5669299147985522E-2</v>
      </c>
      <c r="AZ18" t="str">
        <f t="shared" si="20"/>
        <v/>
      </c>
      <c r="BA18">
        <f t="shared" si="21"/>
        <v>1.3602601339570334E-2</v>
      </c>
      <c r="BB18">
        <f>IF(guodubiaoge!$B18="TE0",[5]guodubiaoge!$AD18,
IF(guodubiaoge!$D18="TE0",[5]guodubiaoge!$AE18,
IF(guodubiaoge!$F18="TE0",[5]guodubiaoge!$AF18,
IF(guodubiaoge!$H18="TE0",[5]guodubiaoge!$AG18,""))))</f>
        <v>-3.1359885170111101E-4</v>
      </c>
      <c r="BC18">
        <f>IF(guodubiaoge!$B18="TE0+HF+6",[5]guodubiaoge!$AD18,
IF(guodubiaoge!$D18="TE0+HF+6",[5]guodubiaoge!$AE18,
IF(guodubiaoge!$F18="TE0+HF+6",[5]guodubiaoge!$AF18,
IF(guodubiaoge!$H18="TE0+HF+6",[5]guodubiaoge!$AG18,""))))</f>
        <v>-2.9080173435782703E-4</v>
      </c>
      <c r="BD18" t="str">
        <f>IF(guodubiaoge!$B18="TE0+Sim+10",[5]guodubiaoge!$AD18,
IF(guodubiaoge!$D18="TE0+Sim+10",[5]guodubiaoge!$AE18,
IF(guodubiaoge!$F18="TE0+Sim+10",[5]guodubiaoge!$AF18,
IF(guodubiaoge!$H18="TE0+Sim+10",[5]guodubiaoge!$AG18,""))))</f>
        <v/>
      </c>
      <c r="BE18">
        <f>IF(guodubiaoge!$B18="TE0+SL+10",[5]guodubiaoge!$AD18,
IF(guodubiaoge!$D18="TE0+SL+10",[5]guodubiaoge!$AE18,
IF(guodubiaoge!$F18="TE0+SL+10",[5]guodubiaoge!$AF18,
IF(guodubiaoge!$H18="TE0+SL+10",[5]guodubiaoge!$AG18,""))))</f>
        <v>1.9276072831897299E-4</v>
      </c>
      <c r="BF18">
        <f>IF(guodubiaoge!$B18="TE0",[5]guodubiaoge!$AH18,
IF(guodubiaoge!$D18="TE0",[5]guodubiaoge!$AI18,
IF(guodubiaoge!$F18="TE0",[5]guodubiaoge!$AJ18,
IF(guodubiaoge!$H18="TE0",[5]guodubiaoge!$AK18,""))))</f>
        <v>-5.9212017434620103E-2</v>
      </c>
      <c r="BG18">
        <f>IF(guodubiaoge!$B18="TE0+HF+6",[5]guodubiaoge!$AH18,
IF(guodubiaoge!$D18="TE0+HF+6",[5]guodubiaoge!$AI18,
IF(guodubiaoge!$F18="TE0+HF+6",[5]guodubiaoge!$AJ18,
IF(guodubiaoge!$H18="TE0+HF+6",[5]guodubiaoge!$AK18,""))))</f>
        <v>7.9743181818181699E-2</v>
      </c>
      <c r="BH18" t="str">
        <f>IF(guodubiaoge!$B18="TE0+Sim+10",[5]guodubiaoge!$AH18,
IF(guodubiaoge!$D18="TE0+Sim+10",[5]guodubiaoge!$AI18,
IF(guodubiaoge!$F18="TE0+Sim+10",[5]guodubiaoge!$AJ18,
IF(guodubiaoge!$H18="TE0+Sim+10",[5]guodubiaoge!$AK18,""))))</f>
        <v/>
      </c>
      <c r="BI18">
        <f>IF(guodubiaoge!$B18="TE0+SL+10",[5]guodubiaoge!$AH18,
IF(guodubiaoge!$D18="TE0+SL+10",[5]guodubiaoge!$AI18,
IF(guodubiaoge!$F18="TE0+SL+10",[5]guodubiaoge!$AJ18,
IF(guodubiaoge!$H18="TE0+SL+10",[5]guodubiaoge!$AK18,""))))</f>
        <v>-1.7284374162422698E-2</v>
      </c>
      <c r="BJ18">
        <f>IF(guodubiaoge!$B18="TE0",[5]guodubiaoge!$AL18,
IF(guodubiaoge!$D18="TE0",[5]guodubiaoge!$AM18,
IF(guodubiaoge!$F18="TE0",[5]guodubiaoge!$AN18,
IF(guodubiaoge!$H18="TE0",[5]guodubiaoge!$AO18,""))))</f>
        <v>-163.51091402260101</v>
      </c>
      <c r="BK18">
        <f>IF(guodubiaoge!$B18="TE0+HF+6",[5]guodubiaoge!$AL18,
IF(guodubiaoge!$D18="TE0+HF+6",[5]guodubiaoge!$AM18,
IF(guodubiaoge!$F18="TE0+HF+6",[5]guodubiaoge!$AN18,
IF(guodubiaoge!$H18="TE0+HF+6",[5]guodubiaoge!$AO18,""))))</f>
        <v>4.0171615381227097</v>
      </c>
      <c r="BL18" t="str">
        <f>IF(guodubiaoge!$B18="TE0+Sim+10",[5]guodubiaoge!$AL18,
IF(guodubiaoge!$D18="TE0+Sim+10",[5]guodubiaoge!$AM18,
IF(guodubiaoge!$F18="TE0+Sim+10",[5]guodubiaoge!$AN18,
IF(guodubiaoge!$H18="TE0+Sim+10",[5]guodubiaoge!$AO18,""))))</f>
        <v/>
      </c>
      <c r="BM18">
        <f>IF(guodubiaoge!$B18="TE0+SL+10",[5]guodubiaoge!$AL18,
IF(guodubiaoge!$D18="TE0+SL+10",[5]guodubiaoge!$AM18,
IF(guodubiaoge!$F18="TE0+SL+10",[5]guodubiaoge!$AN18,
IF(guodubiaoge!$H18="TE0+SL+10",[5]guodubiaoge!$AO18,""))))</f>
        <v>64.2656772998413</v>
      </c>
      <c r="BN18">
        <f>IF(guodubiaoge!$B18="TE0",[5]guodubiaoge!$AP18,
IF(guodubiaoge!$D18="TE0",[5]guodubiaoge!$AQ18,
IF(guodubiaoge!$F18="TE0",[5]guodubiaoge!$AR18,
IF(guodubiaoge!$H18="TE0",[5]guodubiaoge!$AS18,""))))</f>
        <v>62.416262106936998</v>
      </c>
      <c r="BO18">
        <f>IF(guodubiaoge!$B18="TE0+HF+6",[5]guodubiaoge!$AP18,
IF(guodubiaoge!$D18="TE0+HF+6",[5]guodubiaoge!$AQ18,
IF(guodubiaoge!$F18="TE0+HF+6",[5]guodubiaoge!$AR18,
IF(guodubiaoge!$H18="TE0+HF+6",[5]guodubiaoge!$AS18,""))))</f>
        <v>393.21522961625999</v>
      </c>
      <c r="BP18" t="str">
        <f>IF(guodubiaoge!$B18="TE0+Sim+10",[5]guodubiaoge!$AP18,
IF(guodubiaoge!$D18="TE0+Sim+10",[5]guodubiaoge!$AQ18,
IF(guodubiaoge!$F18="TE0+Sim+10",[5]guodubiaoge!$AR18,
IF(guodubiaoge!$H18="TE0+Sim+10",[5]guodubiaoge!$AS18,""))))</f>
        <v/>
      </c>
      <c r="BQ18">
        <f>IF(guodubiaoge!$B18="TE0+SL+10",[5]guodubiaoge!$AP18,
IF(guodubiaoge!$D18="TE0+SL+10",[5]guodubiaoge!$AQ18,
IF(guodubiaoge!$F18="TE0+SL+10",[5]guodubiaoge!$AR18,
IF(guodubiaoge!$H18="TE0+SL+10",[5]guodubiaoge!$AS18,""))))</f>
        <v>105.41906790664299</v>
      </c>
      <c r="BR18">
        <f t="shared" si="22"/>
        <v>0.24411299631932709</v>
      </c>
      <c r="BS18" s="26">
        <f t="shared" si="23"/>
        <v>0.11232178297075619</v>
      </c>
      <c r="BT18" s="26" t="str">
        <f t="shared" si="24"/>
        <v/>
      </c>
      <c r="BU18" s="26">
        <f t="shared" si="25"/>
        <v>-0.57062634126736433</v>
      </c>
      <c r="BV18" s="26">
        <f t="shared" si="26"/>
        <v>-0.32123748154530862</v>
      </c>
      <c r="BW18">
        <f t="shared" si="27"/>
        <v>1.4654095972621888</v>
      </c>
      <c r="BX18" t="str">
        <f t="shared" si="28"/>
        <v/>
      </c>
      <c r="BY18">
        <f t="shared" si="29"/>
        <v>-0.57223471811639348</v>
      </c>
      <c r="BZ18">
        <f t="shared" si="30"/>
        <v>-0.57477255594781962</v>
      </c>
      <c r="CA18">
        <f t="shared" si="31"/>
        <v>-7.0332635541890509E-2</v>
      </c>
      <c r="CB18" t="str">
        <f t="shared" si="32"/>
        <v/>
      </c>
      <c r="CC18">
        <f t="shared" si="33"/>
        <v>0.56335402352129305</v>
      </c>
      <c r="CD18">
        <f t="shared" si="34"/>
        <v>0.45890323011375844</v>
      </c>
      <c r="CE18">
        <f t="shared" si="35"/>
        <v>1.986913477895214</v>
      </c>
      <c r="CF18" t="str">
        <f t="shared" si="36"/>
        <v/>
      </c>
      <c r="CG18">
        <f t="shared" si="37"/>
        <v>0.52214103471021944</v>
      </c>
      <c r="CH18">
        <f t="shared" si="38"/>
        <v>-7.7124485225981532E-2</v>
      </c>
      <c r="CI18">
        <f t="shared" si="39"/>
        <v>1.5777313802329449</v>
      </c>
      <c r="CJ18" t="str">
        <f t="shared" si="40"/>
        <v/>
      </c>
      <c r="CK18">
        <f t="shared" si="41"/>
        <v>-1.1428610593837578</v>
      </c>
      <c r="CL18">
        <f t="shared" si="42"/>
        <v>-0.10019938852053129</v>
      </c>
      <c r="CM18">
        <f t="shared" si="43"/>
        <v>-0.69087411733668125</v>
      </c>
      <c r="CN18" t="str">
        <f t="shared" si="44"/>
        <v/>
      </c>
      <c r="CO18">
        <f t="shared" si="45"/>
        <v>0.95347750595313363</v>
      </c>
      <c r="CP18">
        <f>IF(AA18="","",(AA18-AVERAGE($AA$2:AA$26))/_xlfn.STDEV.S($AA$2:$AA$26))</f>
        <v>0.47457316742728833</v>
      </c>
      <c r="CQ18">
        <f>IF(L18="","",(L18-AVERAGE($L$2:L$26))/_xlfn.STDEV.S($L$2:$L$26))</f>
        <v>0.70207794525798528</v>
      </c>
      <c r="CR18">
        <f t="shared" si="46"/>
        <v>1.1609811753717438</v>
      </c>
      <c r="CS18">
        <f>IF(B18="","",(B18-AVERAGE($B$2:B$26))/_xlfn.STDEV.S($B$2:$B$26))</f>
        <v>-7.4691048169847729E-2</v>
      </c>
      <c r="CT18">
        <f>IF(G18="","",(G18-AVERAGE($G$2:G$26))/_xlfn.STDEV.S($G$2:$G$26))</f>
        <v>-0.99689164959411125</v>
      </c>
      <c r="CU18">
        <f t="shared" si="47"/>
        <v>-1.0715826977639589</v>
      </c>
    </row>
    <row r="19" spans="1:99">
      <c r="A19">
        <v>18</v>
      </c>
      <c r="B19" s="21">
        <f>IF(guodubiaoge!$B19="Te0",[5]guodubiaoge!$C19,
IF(guodubiaoge!$D19="Te0",[5]guodubiaoge!$E19,
IF(guodubiaoge!$F19="Te0",[5]guodubiaoge!$G19,
IF(guodubiaoge!$H19="Te0",[5]guodubiaoge!$I19,""))))</f>
        <v>-3.1590372028315899E-4</v>
      </c>
      <c r="C19">
        <f>IF(guodubiaoge!$B19="Te0+HF+6",[5]guodubiaoge!$C19,
IF(guodubiaoge!$D19="Te0+HF+6",[5]guodubiaoge!$E19,
IF(guodubiaoge!$F19="Te0+HF+6",[5]guodubiaoge!$G19,
IF(guodubiaoge!$H19="Te0+HF+6",[5]guodubiaoge!$I19,""))))</f>
        <v>1.0667375537721E-4</v>
      </c>
      <c r="D19">
        <f>IF(guodubiaoge!$B19="Te0+Sim+10",[5]guodubiaoge!$C19,
IF(guodubiaoge!$D19="Te0+Sim+10",[5]guodubiaoge!$E19,
IF(guodubiaoge!$F19="Te0+Sim+10",[5]guodubiaoge!$G19,
IF(guodubiaoge!$H19="Te0+Sim+10",[5]guodubiaoge!$I19,""))))</f>
        <v>1.1256715598284999E-3</v>
      </c>
      <c r="E19" t="str">
        <f>IF(guodubiaoge!$B19="Te0+SL+10",[5]guodubiaoge!$C19,
IF(guodubiaoge!$D19="Te0+SL+10",[5]guodubiaoge!$E19,
IF(guodubiaoge!$F19="Te0+SL+10",[5]guodubiaoge!$G19,
IF(guodubiaoge!$H19="Te0+SL+10",[5]guodubiaoge!$I19,""))))</f>
        <v/>
      </c>
      <c r="F19">
        <f>IF(guodubiaoge!$B19="Te0-10",[5]guodubiaoge!$C19,
IF(guodubiaoge!$D19="Te0-10",[5]guodubiaoge!$E19,
IF(guodubiaoge!$F19="Te0-10",[5]guodubiaoge!$G19,
IF(guodubiaoge!$H19="Te0-10",[5]guodubiaoge!$I19,""))))</f>
        <v>8.6612512379654998E-4</v>
      </c>
      <c r="G19">
        <f>IF(guodubiaoge!$B19="Te0",[5]guodubiaoge!$J19,
IF(guodubiaoge!$D19="Te0",[5]guodubiaoge!$K19,
IF(guodubiaoge!$F19="Te0",[5]guodubiaoge!$L19,
IF(guodubiaoge!$H19="Te0",[5]guodubiaoge!$M19,""))))</f>
        <v>2.04761904761891E-2</v>
      </c>
      <c r="H19">
        <f>IF(guodubiaoge!$B19="Te0+HF+6",[5]guodubiaoge!$J19,
IF(guodubiaoge!$D19="Te0+HF+6",[5]guodubiaoge!$K19,
IF(guodubiaoge!$F19="Te0+HF+6",[5]guodubiaoge!$L19,
IF(guodubiaoge!$H19="Te0+HF+6",[5]guodubiaoge!$M19,""))))</f>
        <v>6.1130283574102599E-2</v>
      </c>
      <c r="I19">
        <f>IF(guodubiaoge!$B19="Te0+Sim+10",[5]guodubiaoge!$J19,
IF(guodubiaoge!$D19="Te0+Sim+10",[5]guodubiaoge!$K19,
IF(guodubiaoge!$F19="Te0+Sim+10",[5]guodubiaoge!$L19,
IF(guodubiaoge!$H19="Te0+Sim+10",[5]guodubiaoge!$M19,""))))</f>
        <v>-1.79013544594929E-2</v>
      </c>
      <c r="J19" t="str">
        <f>IF(guodubiaoge!$B19="Te0+SL+10",[5]guodubiaoge!$J19,
IF(guodubiaoge!$D19="Te0+SL+10",[5]guodubiaoge!$K19,
IF(guodubiaoge!$F19="Te0+SL+10",[5]guodubiaoge!$L19,
IF(guodubiaoge!$H19="Te0+SL+10",[5]guodubiaoge!$M19,""))))</f>
        <v/>
      </c>
      <c r="K19">
        <f>IF(guodubiaoge!$B19="Te0-10",[5]guodubiaoge!$J19,
IF(guodubiaoge!$D19="Te0-10",[5]guodubiaoge!$K19,
IF(guodubiaoge!$F19="Te0-10",[5]guodubiaoge!$L19,
IF(guodubiaoge!$H19="Te0-10",[5]guodubiaoge!$M19,""))))</f>
        <v>-5.8301724137932699E-2</v>
      </c>
      <c r="L19">
        <f>IF(guodubiaoge!$B19="Te0",[5]guodubiaoge!$N19,
IF(guodubiaoge!$D19="Te0",[5]guodubiaoge!$O19,
IF(guodubiaoge!$F19="Te0",[5]guodubiaoge!$P19,
IF(guodubiaoge!$H19="Te0",[5]guodubiaoge!$Q19,""))))</f>
        <v>55.911364344817301</v>
      </c>
      <c r="M19">
        <f>IF(guodubiaoge!$B19="Te0+HF+6",[5]guodubiaoge!$N19,
IF(guodubiaoge!$D19="Te0+HF+6",[5]guodubiaoge!$O19,
IF(guodubiaoge!$F19="Te0+HF+6",[5]guodubiaoge!$P19,
IF(guodubiaoge!$H19="Te0+HF+6",[5]guodubiaoge!$Q19,""))))</f>
        <v>-199.866001930024</v>
      </c>
      <c r="N19">
        <f>IF(guodubiaoge!$B19="Te0+Sim+10",[5]guodubiaoge!$N19,
IF(guodubiaoge!$D19="Te0+Sim+10",[5]guodubiaoge!$O19,
IF(guodubiaoge!$F19="Te0+Sim+10",[5]guodubiaoge!$P19,
IF(guodubiaoge!$H19="Te0+Sim+10",[5]guodubiaoge!$Q19,""))))</f>
        <v>-493.68483295085599</v>
      </c>
      <c r="O19" t="str">
        <f>IF(guodubiaoge!$B19="Te0+SL+10",[5]guodubiaoge!$N19,
IF(guodubiaoge!$D19="Te0+SL+10",[5]guodubiaoge!$O19,
IF(guodubiaoge!$F19="Te0+SL+10",[5]guodubiaoge!$P19,
IF(guodubiaoge!$H19="Te0+SL+10",[5]guodubiaoge!$Q19,""))))</f>
        <v/>
      </c>
      <c r="P19">
        <f>IF(guodubiaoge!$B19="Te0-10",[5]guodubiaoge!$N19,
IF(guodubiaoge!$D19="Te0-10",[5]guodubiaoge!$O19,
IF(guodubiaoge!$F19="Te0-10",[5]guodubiaoge!$P19,
IF(guodubiaoge!$H19="Te0-10",[5]guodubiaoge!$Q19,""))))</f>
        <v>32.741698344591804</v>
      </c>
      <c r="Q19">
        <f>IF(guodubiaoge!$B19="Te0",[5]guodubiaoge!$R19,
IF(guodubiaoge!$D19="Te0",[5]guodubiaoge!$S19,
IF(guodubiaoge!$F19="Te0",[5]guodubiaoge!$T19,
IF(guodubiaoge!$H19="Te0",[5]guodubiaoge!$U19,""))))</f>
        <v>7</v>
      </c>
      <c r="R19">
        <f>IF(guodubiaoge!$B19="Te0+HF+6",[5]guodubiaoge!$R19,
IF(guodubiaoge!$D19="Te0+HF+6",[5]guodubiaoge!$S19,
IF(guodubiaoge!$F19="Te0+HF+6",[5]guodubiaoge!$T19,
IF(guodubiaoge!$H19="Te0+HF+6",[5]guodubiaoge!$U19,""))))</f>
        <v>7</v>
      </c>
      <c r="S19">
        <f>IF(guodubiaoge!$B19="Te0+Sim+10",[5]guodubiaoge!$R19,
IF(guodubiaoge!$D19="Te0+Sim+10",[5]guodubiaoge!$S19,
IF(guodubiaoge!$F19="Te0+Sim+10",[5]guodubiaoge!$T19,
IF(guodubiaoge!$H19="Te0+Sim+10",[5]guodubiaoge!$U19,""))))</f>
        <v>7</v>
      </c>
      <c r="T19" t="str">
        <f>IF(guodubiaoge!$B19="Te0+SL+10",[5]guodubiaoge!$R19,
IF(guodubiaoge!$D19="Te0+SL+10",[5]guodubiaoge!$S19,
IF(guodubiaoge!$F19="Te0+SL+10",[5]guodubiaoge!$T19,
IF(guodubiaoge!$H19="Te0+SL+10",[5]guodubiaoge!$U19,""))))</f>
        <v/>
      </c>
      <c r="U19">
        <f>IF(guodubiaoge!$B19="Te0-10",[5]guodubiaoge!$R19,
IF(guodubiaoge!$D19="Te0-10",[5]guodubiaoge!$S19,
IF(guodubiaoge!$F19="Te0-10",[5]guodubiaoge!$T19,
IF(guodubiaoge!$H19="Te0-10",[5]guodubiaoge!$U19,""))))</f>
        <v>3</v>
      </c>
      <c r="V19">
        <f>IF(guodubiaoge!$B19="Te0",[5]guodubiaoge!$V19,
IF(guodubiaoge!$D19="Te0",[5]guodubiaoge!$W19,
IF(guodubiaoge!$F19="Te0",[5]guodubiaoge!$X19,
IF(guodubiaoge!$H19="Te0",[5]guodubiaoge!$Y19,""))))</f>
        <v>7</v>
      </c>
      <c r="W19">
        <f>IF(guodubiaoge!$B19="Te0+HF+6",[5]guodubiaoge!$V19,
IF(guodubiaoge!$D19="Te0+HF+6",[5]guodubiaoge!$W19,
IF(guodubiaoge!$F19="Te0+HF+6",[5]guodubiaoge!$X19,
IF(guodubiaoge!$H19="Te0+HF+6",[5]guodubiaoge!$Y19,""))))</f>
        <v>2</v>
      </c>
      <c r="X19">
        <f>IF(guodubiaoge!$B19="Te0+Sim+10",[5]guodubiaoge!$V19,
IF(guodubiaoge!$D19="Te0+Sim+10",[5]guodubiaoge!$W19,
IF(guodubiaoge!$F19="Te0+Sim+10",[5]guodubiaoge!$X19,
IF(guodubiaoge!$H19="Te0+Sim+10",[5]guodubiaoge!$Y19,""))))</f>
        <v>7</v>
      </c>
      <c r="Y19" t="str">
        <f>IF(guodubiaoge!$B19="Te0+SL+10",[5]guodubiaoge!$U19,
IF(guodubiaoge!$D19="Te0+SL+10",[5]guodubiaoge!$W19,
IF(guodubiaoge!$F19="Te0+SL+10",[5]guodubiaoge!$X19,
IF(guodubiaoge!$H19="Te0+SL+10",[5]guodubiaoge!$Y19,""))))</f>
        <v/>
      </c>
      <c r="Z19">
        <f>IF(guodubiaoge!$B19="Te0-10",[5]guodubiaoge!$U19,
IF(guodubiaoge!$D19="Te0-10",[5]guodubiaoge!$W19,
IF(guodubiaoge!$F19="Te0-10",[5]guodubiaoge!$X19,
IF(guodubiaoge!$H19="Te0-10",[5]guodubiaoge!$Y19,""))))</f>
        <v>7</v>
      </c>
      <c r="AA19">
        <f>IF(guodubiaoge!$B19="Te0",[5]guodubiaoge!$Z19,
IF(guodubiaoge!$D19="Te0",[5]guodubiaoge!$AA19,
IF(guodubiaoge!$F19="Te0",[5]guodubiaoge!$AB19,
IF(guodubiaoge!$H19="Te0",[5]guodubiaoge!$AC19,""))))</f>
        <v>-107.53701460121199</v>
      </c>
      <c r="AB19">
        <f>IF(guodubiaoge!$B19="Te0+HF+6",[5]guodubiaoge!$Z19,
IF(guodubiaoge!$D19="Te0+HF+6",[5]guodubiaoge!$AA19,
IF(guodubiaoge!$F19="Te0+HF+6",[5]guodubiaoge!$AB19,
IF(guodubiaoge!$H19="Te0+HF+6",[5]guodubiaoge!$AC19,""))))</f>
        <v>618.83762005876804</v>
      </c>
      <c r="AC19">
        <f>IF(guodubiaoge!$B19="Te0+Sim+10",[5]guodubiaoge!$Z19,
IF(guodubiaoge!$D19="Te0+Sim+10",[5]guodubiaoge!$AA19,
IF(guodubiaoge!$F19="Te0+Sim+10",[5]guodubiaoge!$AB19,
IF(guodubiaoge!$H19="Te0+Sim+10",[5]guodubiaoge!$AC19,""))))</f>
        <v>-64.835491568357895</v>
      </c>
      <c r="AD19" t="str">
        <f>IF(guodubiaoge!$B19="Te0+SL+10",[5]guodubiaoge!$Z19,
IF(guodubiaoge!$D19="Te0+SL+10",[5]guodubiaoge!$AA19,
IF(guodubiaoge!$F19="Te0+SL+10",[5]guodubiaoge!$AB19,
IF(guodubiaoge!$H19="Te0+SL+10",[5]guodubiaoge!$AC19,""))))</f>
        <v/>
      </c>
      <c r="AE19">
        <f>IF(guodubiaoge!$B19="Te0-10",[5]guodubiaoge!$Z19,
IF(guodubiaoge!$D19="Te0-10",[5]guodubiaoge!$AA19,
IF(guodubiaoge!$F19="Te0-10",[5]guodubiaoge!$AB19,
IF(guodubiaoge!$H19="Te0-10",[5]guodubiaoge!$AC19,""))))</f>
        <v>85.682531660373996</v>
      </c>
      <c r="AF19">
        <f t="shared" si="0"/>
        <v>-0.20908042330134896</v>
      </c>
      <c r="AG19">
        <f t="shared" si="1"/>
        <v>0.27817133956965179</v>
      </c>
      <c r="AH19" t="str">
        <f t="shared" si="2"/>
        <v/>
      </c>
      <c r="AI19">
        <f t="shared" si="3"/>
        <v>1.9257020360332482</v>
      </c>
      <c r="AJ19">
        <f t="shared" si="4"/>
        <v>-5.4047556720712648E-3</v>
      </c>
      <c r="AK19" t="str">
        <f t="shared" si="5"/>
        <v/>
      </c>
      <c r="AL19">
        <f t="shared" si="6"/>
        <v>1.7166216127318992</v>
      </c>
      <c r="AM19">
        <f t="shared" si="7"/>
        <v>0.27276658389758052</v>
      </c>
      <c r="AN19" t="str">
        <f t="shared" si="8"/>
        <v/>
      </c>
      <c r="AO19">
        <f t="shared" si="9"/>
        <v>-0.86369341186334636</v>
      </c>
      <c r="AP19">
        <f t="shared" si="10"/>
        <v>-1.7233115460570048</v>
      </c>
      <c r="AQ19" t="str">
        <f t="shared" si="11"/>
        <v/>
      </c>
      <c r="AR19">
        <f t="shared" si="12"/>
        <v>3.8604497815454719</v>
      </c>
      <c r="AS19">
        <f t="shared" si="13"/>
        <v>-0.79811602393298164</v>
      </c>
      <c r="AT19" t="str">
        <f t="shared" si="14"/>
        <v/>
      </c>
      <c r="AU19">
        <f t="shared" si="15"/>
        <v>-1.8797297357345528</v>
      </c>
      <c r="AV19">
        <f t="shared" si="16"/>
        <v>-3.359101962716065</v>
      </c>
      <c r="AW19" t="str">
        <f t="shared" si="17"/>
        <v/>
      </c>
      <c r="AX19" s="21">
        <f t="shared" si="18"/>
        <v>-1.5427856106852987E-2</v>
      </c>
      <c r="AY19">
        <f t="shared" si="19"/>
        <v>1.7450230743310598E-3</v>
      </c>
      <c r="AZ19">
        <f t="shared" si="20"/>
        <v>-6.2881921162762533E-2</v>
      </c>
      <c r="BA19" t="str">
        <f t="shared" si="21"/>
        <v/>
      </c>
      <c r="BB19">
        <f>IF(guodubiaoge!$B19="TE0",[5]guodubiaoge!$AD19,
IF(guodubiaoge!$D19="TE0",[5]guodubiaoge!$AE19,
IF(guodubiaoge!$F19="TE0",[5]guodubiaoge!$AF19,
IF(guodubiaoge!$H19="TE0",[5]guodubiaoge!$AG19,""))))</f>
        <v>1.5071734539359701E-3</v>
      </c>
      <c r="BC19">
        <f>IF(guodubiaoge!$B19="TE0+HF+6",[5]guodubiaoge!$AD19,
IF(guodubiaoge!$D19="TE0+HF+6",[5]guodubiaoge!$AE19,
IF(guodubiaoge!$F19="TE0+HF+6",[5]guodubiaoge!$AF19,
IF(guodubiaoge!$H19="TE0+HF+6",[5]guodubiaoge!$AG19,""))))</f>
        <v>4.8130560571841901E-4</v>
      </c>
      <c r="BD19">
        <f>IF(guodubiaoge!$B19="TE0+Sim+10",[5]guodubiaoge!$AD19,
IF(guodubiaoge!$D19="TE0+Sim+10",[5]guodubiaoge!$AE19,
IF(guodubiaoge!$F19="TE0+Sim+10",[5]guodubiaoge!$AF19,
IF(guodubiaoge!$H19="TE0+Sim+10",[5]guodubiaoge!$AG19,""))))</f>
        <v>4.4553024891958099E-4</v>
      </c>
      <c r="BE19" t="str">
        <f>IF(guodubiaoge!$B19="TE0+SL+10",[5]guodubiaoge!$AD19,
IF(guodubiaoge!$D19="TE0+SL+10",[5]guodubiaoge!$AE19,
IF(guodubiaoge!$F19="TE0+SL+10",[5]guodubiaoge!$AF19,
IF(guodubiaoge!$H19="TE0+SL+10",[5]guodubiaoge!$AG19,""))))</f>
        <v/>
      </c>
      <c r="BF19">
        <f>IF(guodubiaoge!$B19="TE0",[5]guodubiaoge!$AH19,
IF(guodubiaoge!$D19="TE0",[5]guodubiaoge!$AI19,
IF(guodubiaoge!$F19="TE0",[5]guodubiaoge!$AJ19,
IF(guodubiaoge!$H19="TE0",[5]guodubiaoge!$AK19,""))))</f>
        <v>8.9202435312024306E-2</v>
      </c>
      <c r="BG19">
        <f>IF(guodubiaoge!$B19="TE0+HF+6",[5]guodubiaoge!$AH19,
IF(guodubiaoge!$D19="TE0+HF+6",[5]guodubiaoge!$AI19,
IF(guodubiaoge!$F19="TE0+HF+6",[5]guodubiaoge!$AJ19,
IF(guodubiaoge!$H19="TE0+HF+6",[5]guodubiaoge!$AK19,""))))</f>
        <v>-6.5588679245282694E-2</v>
      </c>
      <c r="BH19">
        <f>IF(guodubiaoge!$B19="TE0+Sim+10",[5]guodubiaoge!$AH19,
IF(guodubiaoge!$D19="TE0+Sim+10",[5]guodubiaoge!$AI19,
IF(guodubiaoge!$F19="TE0+Sim+10",[5]guodubiaoge!$AJ19,
IF(guodubiaoge!$H19="TE0+Sim+10",[5]guodubiaoge!$AK19,""))))</f>
        <v>3.8114258585218302E-2</v>
      </c>
      <c r="BI19" t="str">
        <f>IF(guodubiaoge!$B19="TE0+SL+10",[5]guodubiaoge!$AH19,
IF(guodubiaoge!$D19="TE0+SL+10",[5]guodubiaoge!$AI19,
IF(guodubiaoge!$F19="TE0+SL+10",[5]guodubiaoge!$AJ19,
IF(guodubiaoge!$H19="TE0+SL+10",[5]guodubiaoge!$AK19,""))))</f>
        <v/>
      </c>
      <c r="BJ19">
        <f>IF(guodubiaoge!$B19="TE0",[5]guodubiaoge!$AL19,
IF(guodubiaoge!$D19="TE0",[5]guodubiaoge!$AM19,
IF(guodubiaoge!$F19="TE0",[5]guodubiaoge!$AN19,
IF(guodubiaoge!$H19="TE0",[5]guodubiaoge!$AO19,""))))</f>
        <v>-92.211361222726197</v>
      </c>
      <c r="BK19">
        <f>IF(guodubiaoge!$B19="TE0+HF+6",[5]guodubiaoge!$AL19,
IF(guodubiaoge!$D19="TE0+HF+6",[5]guodubiaoge!$AM19,
IF(guodubiaoge!$F19="TE0+HF+6",[5]guodubiaoge!$AN19,
IF(guodubiaoge!$H19="TE0+HF+6",[5]guodubiaoge!$AO19,""))))</f>
        <v>1015.71912127976</v>
      </c>
      <c r="BL19">
        <f>IF(guodubiaoge!$B19="TE0+Sim+10",[5]guodubiaoge!$AL19,
IF(guodubiaoge!$D19="TE0+Sim+10",[5]guodubiaoge!$AM19,
IF(guodubiaoge!$F19="TE0+Sim+10",[5]guodubiaoge!$AN19,
IF(guodubiaoge!$H19="TE0+Sim+10",[5]guodubiaoge!$AO19,""))))</f>
        <v>-98.335242432889103</v>
      </c>
      <c r="BM19" t="str">
        <f>IF(guodubiaoge!$B19="TE0+SL+10",[5]guodubiaoge!$AL19,
IF(guodubiaoge!$D19="TE0+SL+10",[5]guodubiaoge!$AM19,
IF(guodubiaoge!$F19="TE0+SL+10",[5]guodubiaoge!$AN19,
IF(guodubiaoge!$H19="TE0+SL+10",[5]guodubiaoge!$AO19,""))))</f>
        <v/>
      </c>
      <c r="BN19">
        <f>IF(guodubiaoge!$B19="TE0",[5]guodubiaoge!$AP19,
IF(guodubiaoge!$D19="TE0",[5]guodubiaoge!$AQ19,
IF(guodubiaoge!$F19="TE0",[5]guodubiaoge!$AR19,
IF(guodubiaoge!$H19="TE0",[5]guodubiaoge!$AS19,""))))</f>
        <v>51.693546106727098</v>
      </c>
      <c r="BO19">
        <f>IF(guodubiaoge!$B19="TE0+HF+6",[5]guodubiaoge!$AP19,
IF(guodubiaoge!$D19="TE0+HF+6",[5]guodubiaoge!$AQ19,
IF(guodubiaoge!$F19="TE0+HF+6",[5]guodubiaoge!$AR19,
IF(guodubiaoge!$H19="TE0+HF+6",[5]guodubiaoge!$AS19,""))))</f>
        <v>-164.03394180446401</v>
      </c>
      <c r="BP19">
        <f>IF(guodubiaoge!$B19="TE0+Sim+10",[5]guodubiaoge!$AP19,
IF(guodubiaoge!$D19="TE0+Sim+10",[5]guodubiaoge!$AQ19,
IF(guodubiaoge!$F19="TE0+Sim+10",[5]guodubiaoge!$AR19,
IF(guodubiaoge!$H19="TE0+Sim+10",[5]guodubiaoge!$AS19,""))))</f>
        <v>-371.72563135506402</v>
      </c>
      <c r="BQ19" t="str">
        <f>IF(guodubiaoge!$B19="TE0+SL+10",[5]guodubiaoge!$AP19,
IF(guodubiaoge!$D19="TE0+SL+10",[5]guodubiaoge!$AQ19,
IF(guodubiaoge!$F19="TE0+SL+10",[5]guodubiaoge!$AR19,
IF(guodubiaoge!$H19="TE0+SL+10",[5]guodubiaoge!$AS19,""))))</f>
        <v/>
      </c>
      <c r="BR19">
        <f t="shared" si="22"/>
        <v>0.5934041690987194</v>
      </c>
      <c r="BS19" s="26">
        <f t="shared" si="23"/>
        <v>0.19866118800665106</v>
      </c>
      <c r="BT19" s="26">
        <f t="shared" si="24"/>
        <v>-0.29904882882923112</v>
      </c>
      <c r="BU19" s="26" t="str">
        <f t="shared" si="25"/>
        <v/>
      </c>
      <c r="BV19" s="26">
        <f t="shared" si="26"/>
        <v>1.0004022924316471</v>
      </c>
      <c r="BW19">
        <f t="shared" si="27"/>
        <v>-1.1503196838110969</v>
      </c>
      <c r="BX19">
        <f t="shared" si="28"/>
        <v>0.67726462485378802</v>
      </c>
      <c r="BY19" t="str">
        <f t="shared" si="29"/>
        <v/>
      </c>
      <c r="BZ19">
        <f t="shared" si="30"/>
        <v>-0.22139207061253097</v>
      </c>
      <c r="CA19">
        <f t="shared" si="31"/>
        <v>3.9896240950742903</v>
      </c>
      <c r="CB19">
        <f t="shared" si="32"/>
        <v>-0.77407072659039378</v>
      </c>
      <c r="CC19" t="str">
        <f t="shared" si="33"/>
        <v/>
      </c>
      <c r="CD19">
        <f t="shared" si="34"/>
        <v>0.39037069620025638</v>
      </c>
      <c r="CE19">
        <f t="shared" si="35"/>
        <v>-1.0160363238712065</v>
      </c>
      <c r="CF19">
        <f t="shared" si="36"/>
        <v>-1.6357904166590604</v>
      </c>
      <c r="CG19" t="str">
        <f t="shared" si="37"/>
        <v/>
      </c>
      <c r="CH19">
        <f t="shared" si="38"/>
        <v>1.5938064615303666</v>
      </c>
      <c r="CI19">
        <f t="shared" si="39"/>
        <v>-0.95165849580444584</v>
      </c>
      <c r="CJ19">
        <f t="shared" si="40"/>
        <v>0.37821579602455691</v>
      </c>
      <c r="CK19" t="str">
        <f t="shared" si="41"/>
        <v/>
      </c>
      <c r="CL19">
        <f t="shared" si="42"/>
        <v>-0.74236741492740754</v>
      </c>
      <c r="CM19">
        <f t="shared" si="43"/>
        <v>7.8500738766197617</v>
      </c>
      <c r="CN19">
        <f t="shared" si="44"/>
        <v>-1.5721867505233753</v>
      </c>
      <c r="CO19" t="str">
        <f t="shared" si="45"/>
        <v/>
      </c>
      <c r="CP19">
        <f>IF(AA19="","",(AA19-AVERAGE($AA$2:AA$26))/_xlfn.STDEV.S($AA$2:$AA$26))</f>
        <v>-0.52097534431487658</v>
      </c>
      <c r="CQ19">
        <f>IF(L19="","",(L19-AVERAGE($L$2:L$26))/_xlfn.STDEV.S($L$2:$L$26))</f>
        <v>0.42440769778103032</v>
      </c>
      <c r="CR19">
        <f t="shared" si="46"/>
        <v>0.81477839398128671</v>
      </c>
      <c r="CS19">
        <f>IF(B19="","",(B19-AVERAGE($B$2:B$26))/_xlfn.STDEV.S($B$2:$B$26))</f>
        <v>-0.12044413292365337</v>
      </c>
      <c r="CT19">
        <f>IF(G19="","",(G19-AVERAGE($G$2:G$26))/_xlfn.STDEV.S($G$2:$G$26))</f>
        <v>-1.4681643901468044E-2</v>
      </c>
      <c r="CU19">
        <f t="shared" si="47"/>
        <v>-0.13512577682512142</v>
      </c>
    </row>
    <row r="20" spans="1:99">
      <c r="A20">
        <v>19</v>
      </c>
      <c r="B20" s="21">
        <f>IF(guodubiaoge!$B20="Te0",[5]guodubiaoge!$C20,
IF(guodubiaoge!$D20="Te0",[5]guodubiaoge!$E20,
IF(guodubiaoge!$F20="Te0",[5]guodubiaoge!$G20,
IF(guodubiaoge!$H20="Te0",[5]guodubiaoge!$I20,""))))</f>
        <v>-2.55340446866343E-2</v>
      </c>
      <c r="C20">
        <f>IF(guodubiaoge!$B20="Te0+HF+6",[5]guodubiaoge!$C20,
IF(guodubiaoge!$D20="Te0+HF+6",[5]guodubiaoge!$E20,
IF(guodubiaoge!$F20="Te0+HF+6",[5]guodubiaoge!$G20,
IF(guodubiaoge!$H20="Te0+HF+6",[5]guodubiaoge!$I20,""))))</f>
        <v>-7.9222523988399906E-5</v>
      </c>
      <c r="D20" t="str">
        <f>IF(guodubiaoge!$B20="Te0+Sim+10",[5]guodubiaoge!$C20,
IF(guodubiaoge!$D20="Te0+Sim+10",[5]guodubiaoge!$E20,
IF(guodubiaoge!$F20="Te0+Sim+10",[5]guodubiaoge!$G20,
IF(guodubiaoge!$H20="Te0+Sim+10",[5]guodubiaoge!$I20,""))))</f>
        <v/>
      </c>
      <c r="E20">
        <f>IF(guodubiaoge!$B20="Te0+SL+10",[5]guodubiaoge!$C20,
IF(guodubiaoge!$D20="Te0+SL+10",[5]guodubiaoge!$E20,
IF(guodubiaoge!$F20="Te0+SL+10",[5]guodubiaoge!$G20,
IF(guodubiaoge!$H20="Te0+SL+10",[5]guodubiaoge!$I20,""))))</f>
        <v>-1.3988257833094299E-3</v>
      </c>
      <c r="F20">
        <f>IF(guodubiaoge!$B20="Te0-10",[5]guodubiaoge!$C20,
IF(guodubiaoge!$D20="Te0-10",[5]guodubiaoge!$E20,
IF(guodubiaoge!$F20="Te0-10",[5]guodubiaoge!$G20,
IF(guodubiaoge!$H20="Te0-10",[5]guodubiaoge!$I20,""))))</f>
        <v>4.8043852866032797E-3</v>
      </c>
      <c r="G20">
        <f>IF(guodubiaoge!$B20="Te0",[5]guodubiaoge!$J20,
IF(guodubiaoge!$D20="Te0",[5]guodubiaoge!$K20,
IF(guodubiaoge!$F20="Te0",[5]guodubiaoge!$L20,
IF(guodubiaoge!$H20="Te0",[5]guodubiaoge!$M20,""))))</f>
        <v>-2.51537051584181E-2</v>
      </c>
      <c r="H20">
        <f>IF(guodubiaoge!$B20="Te0+HF+6",[5]guodubiaoge!$J20,
IF(guodubiaoge!$D20="Te0+HF+6",[5]guodubiaoge!$K20,
IF(guodubiaoge!$F20="Te0+HF+6",[5]guodubiaoge!$L20,
IF(guodubiaoge!$H20="Te0+HF+6",[5]guodubiaoge!$M20,""))))</f>
        <v>-7.5568181818181507E-2</v>
      </c>
      <c r="I20" t="str">
        <f>IF(guodubiaoge!$B20="Te0+Sim+10",[5]guodubiaoge!$J20,
IF(guodubiaoge!$D20="Te0+Sim+10",[5]guodubiaoge!$K20,
IF(guodubiaoge!$F20="Te0+Sim+10",[5]guodubiaoge!$L20,
IF(guodubiaoge!$H20="Te0+Sim+10",[5]guodubiaoge!$M20,""))))</f>
        <v/>
      </c>
      <c r="J20">
        <f>IF(guodubiaoge!$B20="Te0+SL+10",[5]guodubiaoge!$J20,
IF(guodubiaoge!$D20="Te0+SL+10",[5]guodubiaoge!$K20,
IF(guodubiaoge!$F20="Te0+SL+10",[5]guodubiaoge!$L20,
IF(guodubiaoge!$H20="Te0+SL+10",[5]guodubiaoge!$M20,""))))</f>
        <v>6.8691544117647094E-2</v>
      </c>
      <c r="K20">
        <f>IF(guodubiaoge!$B20="Te0-10",[5]guodubiaoge!$J20,
IF(guodubiaoge!$D20="Te0-10",[5]guodubiaoge!$K20,
IF(guodubiaoge!$F20="Te0-10",[5]guodubiaoge!$L20,
IF(guodubiaoge!$H20="Te0-10",[5]guodubiaoge!$M20,""))))</f>
        <v>-1.2929411764705899E-2</v>
      </c>
      <c r="L20">
        <f>IF(guodubiaoge!$B20="Te0",[5]guodubiaoge!$N20,
IF(guodubiaoge!$D20="Te0",[5]guodubiaoge!$O20,
IF(guodubiaoge!$F20="Te0",[5]guodubiaoge!$P20,
IF(guodubiaoge!$H20="Te0",[5]guodubiaoge!$Q20,""))))</f>
        <v>-157.45241820943801</v>
      </c>
      <c r="M20">
        <f>IF(guodubiaoge!$B20="Te0+HF+6",[5]guodubiaoge!$N20,
IF(guodubiaoge!$D20="Te0+HF+6",[5]guodubiaoge!$O20,
IF(guodubiaoge!$F20="Te0+HF+6",[5]guodubiaoge!$P20,
IF(guodubiaoge!$H20="Te0+HF+6",[5]guodubiaoge!$Q20,""))))</f>
        <v>19.631735326338301</v>
      </c>
      <c r="N20" t="str">
        <f>IF(guodubiaoge!$B20="Te0+Sim+10",[5]guodubiaoge!$N20,
IF(guodubiaoge!$D20="Te0+Sim+10",[5]guodubiaoge!$O20,
IF(guodubiaoge!$F20="Te0+Sim+10",[5]guodubiaoge!$P20,
IF(guodubiaoge!$H20="Te0+Sim+10",[5]guodubiaoge!$Q20,""))))</f>
        <v/>
      </c>
      <c r="O20">
        <f>IF(guodubiaoge!$B20="Te0+SL+10",[5]guodubiaoge!$N20,
IF(guodubiaoge!$D20="Te0+SL+10",[5]guodubiaoge!$O20,
IF(guodubiaoge!$F20="Te0+SL+10",[5]guodubiaoge!$P20,
IF(guodubiaoge!$H20="Te0+SL+10",[5]guodubiaoge!$Q20,""))))</f>
        <v>-266.66450882129101</v>
      </c>
      <c r="P20">
        <f>IF(guodubiaoge!$B20="Te0-10",[5]guodubiaoge!$N20,
IF(guodubiaoge!$D20="Te0-10",[5]guodubiaoge!$O20,
IF(guodubiaoge!$F20="Te0-10",[5]guodubiaoge!$P20,
IF(guodubiaoge!$H20="Te0-10",[5]guodubiaoge!$Q20,""))))</f>
        <v>444.345307750176</v>
      </c>
      <c r="Q20">
        <f>IF(guodubiaoge!$B20="Te0",[5]guodubiaoge!$R20,
IF(guodubiaoge!$D20="Te0",[5]guodubiaoge!$S20,
IF(guodubiaoge!$F20="Te0",[5]guodubiaoge!$T20,
IF(guodubiaoge!$H20="Te0",[5]guodubiaoge!$U20,""))))</f>
        <v>6</v>
      </c>
      <c r="R20">
        <f>IF(guodubiaoge!$B20="Te0+HF+6",[5]guodubiaoge!$R20,
IF(guodubiaoge!$D20="Te0+HF+6",[5]guodubiaoge!$S20,
IF(guodubiaoge!$F20="Te0+HF+6",[5]guodubiaoge!$T20,
IF(guodubiaoge!$H20="Te0+HF+6",[5]guodubiaoge!$U20,""))))</f>
        <v>6</v>
      </c>
      <c r="S20" t="str">
        <f>IF(guodubiaoge!$B20="Te0+Sim+10",[5]guodubiaoge!$R20,
IF(guodubiaoge!$D20="Te0+Sim+10",[5]guodubiaoge!$S20,
IF(guodubiaoge!$F20="Te0+Sim+10",[5]guodubiaoge!$T20,
IF(guodubiaoge!$H20="Te0+Sim+10",[5]guodubiaoge!$U20,""))))</f>
        <v/>
      </c>
      <c r="T20">
        <f>IF(guodubiaoge!$B20="Te0+SL+10",[5]guodubiaoge!$R20,
IF(guodubiaoge!$D20="Te0+SL+10",[5]guodubiaoge!$S20,
IF(guodubiaoge!$F20="Te0+SL+10",[5]guodubiaoge!$T20,
IF(guodubiaoge!$H20="Te0+SL+10",[5]guodubiaoge!$U20,""))))</f>
        <v>5</v>
      </c>
      <c r="U20">
        <f>IF(guodubiaoge!$B20="Te0-10",[5]guodubiaoge!$R20,
IF(guodubiaoge!$D20="Te0-10",[5]guodubiaoge!$S20,
IF(guodubiaoge!$F20="Te0-10",[5]guodubiaoge!$T20,
IF(guodubiaoge!$H20="Te0-10",[5]guodubiaoge!$U20,""))))</f>
        <v>3</v>
      </c>
      <c r="V20">
        <f>IF(guodubiaoge!$B20="Te0",[5]guodubiaoge!$V20,
IF(guodubiaoge!$D20="Te0",[5]guodubiaoge!$W20,
IF(guodubiaoge!$F20="Te0",[5]guodubiaoge!$X20,
IF(guodubiaoge!$H20="Te0",[5]guodubiaoge!$Y20,""))))</f>
        <v>7</v>
      </c>
      <c r="W20">
        <f>IF(guodubiaoge!$B20="Te0+HF+6",[5]guodubiaoge!$V20,
IF(guodubiaoge!$D20="Te0+HF+6",[5]guodubiaoge!$W20,
IF(guodubiaoge!$F20="Te0+HF+6",[5]guodubiaoge!$X20,
IF(guodubiaoge!$H20="Te0+HF+6",[5]guodubiaoge!$Y20,""))))</f>
        <v>2</v>
      </c>
      <c r="X20" t="str">
        <f>IF(guodubiaoge!$B20="Te0+Sim+10",[5]guodubiaoge!$V20,
IF(guodubiaoge!$D20="Te0+Sim+10",[5]guodubiaoge!$W20,
IF(guodubiaoge!$F20="Te0+Sim+10",[5]guodubiaoge!$X20,
IF(guodubiaoge!$H20="Te0+Sim+10",[5]guodubiaoge!$Y20,""))))</f>
        <v/>
      </c>
      <c r="Y20">
        <f>IF(guodubiaoge!$B20="Te0+SL+10",[5]guodubiaoge!$U20,
IF(guodubiaoge!$D20="Te0+SL+10",[5]guodubiaoge!$W20,
IF(guodubiaoge!$F20="Te0+SL+10",[5]guodubiaoge!$X20,
IF(guodubiaoge!$H20="Te0+SL+10",[5]guodubiaoge!$Y20,""))))</f>
        <v>2</v>
      </c>
      <c r="Z20">
        <f>IF(guodubiaoge!$B20="Te0-10",[5]guodubiaoge!$U20,
IF(guodubiaoge!$D20="Te0-10",[5]guodubiaoge!$W20,
IF(guodubiaoge!$F20="Te0-10",[5]guodubiaoge!$X20,
IF(guodubiaoge!$H20="Te0-10",[5]guodubiaoge!$Y20,""))))</f>
        <v>6</v>
      </c>
      <c r="AA20">
        <f>IF(guodubiaoge!$B20="Te0",[5]guodubiaoge!$Z20,
IF(guodubiaoge!$D20="Te0",[5]guodubiaoge!$AA20,
IF(guodubiaoge!$F20="Te0",[5]guodubiaoge!$AB20,
IF(guodubiaoge!$H20="Te0",[5]guodubiaoge!$AC20,""))))</f>
        <v>33.603666613745098</v>
      </c>
      <c r="AB20">
        <f>IF(guodubiaoge!$B20="Te0+HF+6",[5]guodubiaoge!$Z20,
IF(guodubiaoge!$D20="Te0+HF+6",[5]guodubiaoge!$AA20,
IF(guodubiaoge!$F20="Te0+HF+6",[5]guodubiaoge!$AB20,
IF(guodubiaoge!$H20="Te0+HF+6",[5]guodubiaoge!$AC20,""))))</f>
        <v>-12.0375877748692</v>
      </c>
      <c r="AC20" t="str">
        <f>IF(guodubiaoge!$B20="Te0+Sim+10",[5]guodubiaoge!$Z20,
IF(guodubiaoge!$D20="Te0+Sim+10",[5]guodubiaoge!$AA20,
IF(guodubiaoge!$F20="Te0+Sim+10",[5]guodubiaoge!$AB20,
IF(guodubiaoge!$H20="Te0+Sim+10",[5]guodubiaoge!$AC20,""))))</f>
        <v/>
      </c>
      <c r="AD20">
        <f>IF(guodubiaoge!$B20="Te0+SL+10",[5]guodubiaoge!$Z20,
IF(guodubiaoge!$D20="Te0+SL+10",[5]guodubiaoge!$AA20,
IF(guodubiaoge!$F20="Te0+SL+10",[5]guodubiaoge!$AB20,
IF(guodubiaoge!$H20="Te0+SL+10",[5]guodubiaoge!$AC20,""))))</f>
        <v>113.243608865102</v>
      </c>
      <c r="AE20">
        <f>IF(guodubiaoge!$B20="Te0-10",[5]guodubiaoge!$Z20,
IF(guodubiaoge!$D20="Te0-10",[5]guodubiaoge!$AA20,
IF(guodubiaoge!$F20="Te0-10",[5]guodubiaoge!$AB20,
IF(guodubiaoge!$H20="Te0-10",[5]guodubiaoge!$AC20,""))))</f>
        <v>-336.11531652127599</v>
      </c>
      <c r="AF20">
        <f t="shared" si="0"/>
        <v>-0.26459616292068922</v>
      </c>
      <c r="AG20" t="str">
        <f t="shared" si="1"/>
        <v/>
      </c>
      <c r="AH20">
        <f t="shared" si="2"/>
        <v>-0.31674197089894551</v>
      </c>
      <c r="AI20">
        <f t="shared" si="3"/>
        <v>-1.4911799739953215</v>
      </c>
      <c r="AJ20" t="str">
        <f t="shared" si="4"/>
        <v/>
      </c>
      <c r="AK20">
        <f t="shared" si="5"/>
        <v>0.73099440751262246</v>
      </c>
      <c r="AL20">
        <f t="shared" si="6"/>
        <v>-1.7557761369160108</v>
      </c>
      <c r="AM20" t="str">
        <f t="shared" si="7"/>
        <v/>
      </c>
      <c r="AN20">
        <f t="shared" si="8"/>
        <v>0.41425243661367694</v>
      </c>
      <c r="AO20">
        <f t="shared" si="9"/>
        <v>1.5990432812922263E-2</v>
      </c>
      <c r="AP20" t="str">
        <f t="shared" si="10"/>
        <v/>
      </c>
      <c r="AQ20">
        <f t="shared" si="11"/>
        <v>-1.0764030852611102</v>
      </c>
      <c r="AR20">
        <f t="shared" si="12"/>
        <v>-0.11414419825001684</v>
      </c>
      <c r="AS20" t="str">
        <f t="shared" si="13"/>
        <v/>
      </c>
      <c r="AT20">
        <f t="shared" si="14"/>
        <v>1.4857996343471775</v>
      </c>
      <c r="AU20">
        <f t="shared" si="15"/>
        <v>-0.15851664583329053</v>
      </c>
      <c r="AV20" t="str">
        <f t="shared" si="16"/>
        <v/>
      </c>
      <c r="AW20">
        <f t="shared" si="17"/>
        <v>-2.0807064377890203</v>
      </c>
      <c r="AX20" s="21">
        <f t="shared" si="18"/>
        <v>1.0151206164587214</v>
      </c>
      <c r="AY20">
        <f t="shared" si="19"/>
        <v>1.0483582121773264E-3</v>
      </c>
      <c r="AZ20" t="str">
        <f t="shared" si="20"/>
        <v/>
      </c>
      <c r="BA20">
        <f t="shared" si="21"/>
        <v>-2.0363871583868889E-2</v>
      </c>
      <c r="BB20">
        <f>IF(guodubiaoge!$B20="TE0",[5]guodubiaoge!$AD20,
IF(guodubiaoge!$D20="TE0",[5]guodubiaoge!$AE20,
IF(guodubiaoge!$F20="TE0",[5]guodubiaoge!$AF20,
IF(guodubiaoge!$H20="TE0",[5]guodubiaoge!$AG20,""))))</f>
        <v>2.73879311810121E-3</v>
      </c>
      <c r="BC20">
        <f>IF(guodubiaoge!$B20="TE0+HF+6",[5]guodubiaoge!$AD20,
IF(guodubiaoge!$D20="TE0+HF+6",[5]guodubiaoge!$AE20,
IF(guodubiaoge!$F20="TE0+HF+6",[5]guodubiaoge!$AF20,
IF(guodubiaoge!$H20="TE0+HF+6",[5]guodubiaoge!$AG20,""))))</f>
        <v>1.29128155149892E-2</v>
      </c>
      <c r="BD20" t="str">
        <f>IF(guodubiaoge!$B20="TE0+Sim+10",[5]guodubiaoge!$AD20,
IF(guodubiaoge!$D20="TE0+Sim+10",[5]guodubiaoge!$AE20,
IF(guodubiaoge!$F20="TE0+Sim+10",[5]guodubiaoge!$AF20,
IF(guodubiaoge!$H20="TE0+Sim+10",[5]guodubiaoge!$AG20,""))))</f>
        <v/>
      </c>
      <c r="BE20">
        <f>IF(guodubiaoge!$B20="TE0+SL+10",[5]guodubiaoge!$AD20,
IF(guodubiaoge!$D20="TE0+SL+10",[5]guodubiaoge!$AE20,
IF(guodubiaoge!$F20="TE0+SL+10",[5]guodubiaoge!$AF20,
IF(guodubiaoge!$H20="TE0+SL+10",[5]guodubiaoge!$AG20,""))))</f>
        <v>8.1983503293405098E-3</v>
      </c>
      <c r="BF20">
        <f>IF(guodubiaoge!$B20="TE0",[5]guodubiaoge!$AH20,
IF(guodubiaoge!$D20="TE0",[5]guodubiaoge!$AI20,
IF(guodubiaoge!$F20="TE0",[5]guodubiaoge!$AJ20,
IF(guodubiaoge!$H20="TE0",[5]guodubiaoge!$AK20,""))))</f>
        <v>1.9684556407448799E-2</v>
      </c>
      <c r="BG20">
        <f>IF(guodubiaoge!$B20="TE0+HF+6",[5]guodubiaoge!$AH20,
IF(guodubiaoge!$D20="TE0+HF+6",[5]guodubiaoge!$AI20,
IF(guodubiaoge!$F20="TE0+HF+6",[5]guodubiaoge!$AJ20,
IF(guodubiaoge!$H20="TE0+HF+6",[5]guodubiaoge!$AK20,""))))</f>
        <v>9.9875874125874106E-2</v>
      </c>
      <c r="BH20" t="str">
        <f>IF(guodubiaoge!$B20="TE0+Sim+10",[5]guodubiaoge!$AH20,
IF(guodubiaoge!$D20="TE0+Sim+10",[5]guodubiaoge!$AI20,
IF(guodubiaoge!$F20="TE0+Sim+10",[5]guodubiaoge!$AJ20,
IF(guodubiaoge!$H20="TE0+Sim+10",[5]guodubiaoge!$AK20,""))))</f>
        <v/>
      </c>
      <c r="BI20">
        <f>IF(guodubiaoge!$B20="TE0+SL+10",[5]guodubiaoge!$AH20,
IF(guodubiaoge!$D20="TE0+SL+10",[5]guodubiaoge!$AI20,
IF(guodubiaoge!$F20="TE0+SL+10",[5]guodubiaoge!$AJ20,
IF(guodubiaoge!$H20="TE0+SL+10",[5]guodubiaoge!$AK20,""))))</f>
        <v>7.68336964415328E-3</v>
      </c>
      <c r="BJ20">
        <f>IF(guodubiaoge!$B20="TE0",[5]guodubiaoge!$AL20,
IF(guodubiaoge!$D20="TE0",[5]guodubiaoge!$AM20,
IF(guodubiaoge!$F20="TE0",[5]guodubiaoge!$AN20,
IF(guodubiaoge!$H20="TE0",[5]guodubiaoge!$AO20,""))))</f>
        <v>62.2171677598309</v>
      </c>
      <c r="BK20">
        <f>IF(guodubiaoge!$B20="TE0+HF+6",[5]guodubiaoge!$AL20,
IF(guodubiaoge!$D20="TE0+HF+6",[5]guodubiaoge!$AM20,
IF(guodubiaoge!$F20="TE0+HF+6",[5]guodubiaoge!$AN20,
IF(guodubiaoge!$H20="TE0+HF+6",[5]guodubiaoge!$AO20,""))))</f>
        <v>-85.742591601354505</v>
      </c>
      <c r="BL20" t="str">
        <f>IF(guodubiaoge!$B20="TE0+Sim+10",[5]guodubiaoge!$AL20,
IF(guodubiaoge!$D20="TE0+Sim+10",[5]guodubiaoge!$AM20,
IF(guodubiaoge!$F20="TE0+Sim+10",[5]guodubiaoge!$AN20,
IF(guodubiaoge!$H20="TE0+Sim+10",[5]guodubiaoge!$AO20,""))))</f>
        <v/>
      </c>
      <c r="BM20">
        <f>IF(guodubiaoge!$B20="TE0+SL+10",[5]guodubiaoge!$AL20,
IF(guodubiaoge!$D20="TE0+SL+10",[5]guodubiaoge!$AM20,
IF(guodubiaoge!$F20="TE0+SL+10",[5]guodubiaoge!$AN20,
IF(guodubiaoge!$H20="TE0+SL+10",[5]guodubiaoge!$AO20,""))))</f>
        <v>160.01135098255099</v>
      </c>
      <c r="BN20">
        <f>IF(guodubiaoge!$B20="TE0",[5]guodubiaoge!$AP20,
IF(guodubiaoge!$D20="TE0",[5]guodubiaoge!$AQ20,
IF(guodubiaoge!$F20="TE0",[5]guodubiaoge!$AR20,
IF(guodubiaoge!$H20="TE0",[5]guodubiaoge!$AS20,""))))</f>
        <v>-146.38632254610201</v>
      </c>
      <c r="BO20">
        <f>IF(guodubiaoge!$B20="TE0+HF+6",[5]guodubiaoge!$AP20,
IF(guodubiaoge!$D20="TE0+HF+6",[5]guodubiaoge!$AQ20,
IF(guodubiaoge!$F20="TE0+HF+6",[5]guodubiaoge!$AR20,
IF(guodubiaoge!$H20="TE0+HF+6",[5]guodubiaoge!$AS20,""))))</f>
        <v>-7.87366421604401</v>
      </c>
      <c r="BP20" t="str">
        <f>IF(guodubiaoge!$B20="TE0+Sim+10",[5]guodubiaoge!$AP20,
IF(guodubiaoge!$D20="TE0+Sim+10",[5]guodubiaoge!$AQ20,
IF(guodubiaoge!$F20="TE0+Sim+10",[5]guodubiaoge!$AR20,
IF(guodubiaoge!$H20="TE0+Sim+10",[5]guodubiaoge!$AS20,""))))</f>
        <v/>
      </c>
      <c r="BQ20">
        <f>IF(guodubiaoge!$B20="TE0+SL+10",[5]guodubiaoge!$AP20,
IF(guodubiaoge!$D20="TE0+SL+10",[5]guodubiaoge!$AQ20,
IF(guodubiaoge!$F20="TE0+SL+10",[5]guodubiaoge!$AR20,
IF(guodubiaoge!$H20="TE0+SL+10",[5]guodubiaoge!$AS20,""))))</f>
        <v>-205.116076684896</v>
      </c>
      <c r="BR20">
        <f t="shared" si="22"/>
        <v>0.82967417143924527</v>
      </c>
      <c r="BS20" s="26">
        <f t="shared" si="23"/>
        <v>1.588790660365091</v>
      </c>
      <c r="BT20" s="26" t="str">
        <f t="shared" si="24"/>
        <v/>
      </c>
      <c r="BU20" s="26">
        <f t="shared" si="25"/>
        <v>2.7582688535855238</v>
      </c>
      <c r="BV20" s="26">
        <f t="shared" si="26"/>
        <v>0.38134133130245645</v>
      </c>
      <c r="BW20">
        <f t="shared" si="27"/>
        <v>1.8277642274906787</v>
      </c>
      <c r="BX20" t="str">
        <f t="shared" si="28"/>
        <v/>
      </c>
      <c r="BY20">
        <f t="shared" si="29"/>
        <v>-3.4036575440159547E-2</v>
      </c>
      <c r="BZ20">
        <f t="shared" si="30"/>
        <v>0.54399882425948476</v>
      </c>
      <c r="CA20">
        <f t="shared" si="31"/>
        <v>-0.43053823798050894</v>
      </c>
      <c r="CB20" t="str">
        <f t="shared" si="32"/>
        <v/>
      </c>
      <c r="CC20">
        <f t="shared" si="33"/>
        <v>1.1730173216633542</v>
      </c>
      <c r="CD20">
        <f t="shared" si="34"/>
        <v>-0.87562528054353805</v>
      </c>
      <c r="CE20">
        <f t="shared" si="35"/>
        <v>-0.17450707864621279</v>
      </c>
      <c r="CF20" t="str">
        <f t="shared" si="36"/>
        <v/>
      </c>
      <c r="CG20">
        <f t="shared" si="37"/>
        <v>-1.0043033525279101</v>
      </c>
      <c r="CH20">
        <f t="shared" si="38"/>
        <v>1.2110155027417018</v>
      </c>
      <c r="CI20">
        <f t="shared" si="39"/>
        <v>3.4165548878557699</v>
      </c>
      <c r="CJ20" t="str">
        <f t="shared" si="40"/>
        <v/>
      </c>
      <c r="CK20">
        <f t="shared" si="41"/>
        <v>2.7242322781453643</v>
      </c>
      <c r="CL20">
        <f t="shared" si="42"/>
        <v>0.86955916453110704</v>
      </c>
      <c r="CM20">
        <f t="shared" si="43"/>
        <v>-0.54468243623052581</v>
      </c>
      <c r="CN20" t="str">
        <f t="shared" si="44"/>
        <v/>
      </c>
      <c r="CO20">
        <f t="shared" si="45"/>
        <v>2.6588169560105319</v>
      </c>
      <c r="CP20">
        <f>IF(AA20="","",(AA20-AVERAGE($AA$2:AA$26))/_xlfn.STDEV.S($AA$2:$AA$26))</f>
        <v>0.32556034027162228</v>
      </c>
      <c r="CQ20">
        <f>IF(L20="","",(L20-AVERAGE($L$2:L$26))/_xlfn.STDEV.S($L$2:$L$26))</f>
        <v>-0.50565124354791269</v>
      </c>
      <c r="CR20">
        <f t="shared" si="46"/>
        <v>-1.3812765240914509</v>
      </c>
      <c r="CS20">
        <f>IF(B20="","",(B20-AVERAGE($B$2:B$26))/_xlfn.STDEV.S($B$2:$B$26))</f>
        <v>-1.8037949850576873</v>
      </c>
      <c r="CT20">
        <f>IF(G20="","",(G20-AVERAGE($G$2:G$26))/_xlfn.STDEV.S($G$2:$G$26))</f>
        <v>-0.6543579523305697</v>
      </c>
      <c r="CU20">
        <f t="shared" si="47"/>
        <v>-2.4581529373882569</v>
      </c>
    </row>
    <row r="21" spans="1:99">
      <c r="A21">
        <v>20</v>
      </c>
      <c r="B21" s="21">
        <f>IF(guodubiaoge!$B21="Te0",[5]guodubiaoge!$C21,
IF(guodubiaoge!$D21="Te0",[5]guodubiaoge!$E21,
IF(guodubiaoge!$F21="Te0",[5]guodubiaoge!$G21,
IF(guodubiaoge!$H21="Te0",[5]guodubiaoge!$I21,""))))</f>
        <v>-6.7502543888354203E-3</v>
      </c>
      <c r="C21">
        <f>IF(guodubiaoge!$B21="Te0+HF+6",[5]guodubiaoge!$C21,
IF(guodubiaoge!$D21="Te0+HF+6",[5]guodubiaoge!$E21,
IF(guodubiaoge!$F21="Te0+HF+6",[5]guodubiaoge!$G21,
IF(guodubiaoge!$H21="Te0+HF+6",[5]guodubiaoge!$I21,""))))</f>
        <v>1.5539989058883199E-2</v>
      </c>
      <c r="D21">
        <f>IF(guodubiaoge!$B21="Te0+Sim+10",[5]guodubiaoge!$C21,
IF(guodubiaoge!$D21="Te0+Sim+10",[5]guodubiaoge!$E21,
IF(guodubiaoge!$F21="Te0+Sim+10",[5]guodubiaoge!$G21,
IF(guodubiaoge!$H21="Te0+Sim+10",[5]guodubiaoge!$I21,""))))</f>
        <v>3.0526152065835899E-3</v>
      </c>
      <c r="E21" t="str">
        <f>IF(guodubiaoge!$B21="Te0+SL+10",[5]guodubiaoge!$C21,
IF(guodubiaoge!$D21="Te0+SL+10",[5]guodubiaoge!$E21,
IF(guodubiaoge!$F21="Te0+SL+10",[5]guodubiaoge!$G21,
IF(guodubiaoge!$H21="Te0+SL+10",[5]guodubiaoge!$I21,""))))</f>
        <v/>
      </c>
      <c r="F21">
        <f>IF(guodubiaoge!$B21="Te0-10",[5]guodubiaoge!$C21,
IF(guodubiaoge!$D21="Te0-10",[5]guodubiaoge!$E21,
IF(guodubiaoge!$F21="Te0-10",[5]guodubiaoge!$G21,
IF(guodubiaoge!$H21="Te0-10",[5]guodubiaoge!$I21,""))))</f>
        <v>-1.7648994813242301E-2</v>
      </c>
      <c r="G21">
        <f>IF(guodubiaoge!$B21="Te0",[5]guodubiaoge!$J21,
IF(guodubiaoge!$D21="Te0",[5]guodubiaoge!$K21,
IF(guodubiaoge!$F21="Te0",[5]guodubiaoge!$L21,
IF(guodubiaoge!$H21="Te0",[5]guodubiaoge!$M21,""))))</f>
        <v>-7.7606949806949904E-2</v>
      </c>
      <c r="H21">
        <f>IF(guodubiaoge!$B21="Te0+HF+6",[5]guodubiaoge!$J21,
IF(guodubiaoge!$D21="Te0+HF+6",[5]guodubiaoge!$K21,
IF(guodubiaoge!$F21="Te0+HF+6",[5]guodubiaoge!$L21,
IF(guodubiaoge!$H21="Te0+HF+6",[5]guodubiaoge!$M21,""))))</f>
        <v>3.5100775193798901E-2</v>
      </c>
      <c r="I21">
        <f>IF(guodubiaoge!$B21="Te0+Sim+10",[5]guodubiaoge!$J21,
IF(guodubiaoge!$D21="Te0+Sim+10",[5]guodubiaoge!$K21,
IF(guodubiaoge!$F21="Te0+Sim+10",[5]guodubiaoge!$L21,
IF(guodubiaoge!$H21="Te0+Sim+10",[5]guodubiaoge!$M21,""))))</f>
        <v>-2.6171211160431199E-2</v>
      </c>
      <c r="J21" t="str">
        <f>IF(guodubiaoge!$B21="Te0+SL+10",[5]guodubiaoge!$J21,
IF(guodubiaoge!$D21="Te0+SL+10",[5]guodubiaoge!$K21,
IF(guodubiaoge!$F21="Te0+SL+10",[5]guodubiaoge!$L21,
IF(guodubiaoge!$H21="Te0+SL+10",[5]guodubiaoge!$M21,""))))</f>
        <v/>
      </c>
      <c r="K21">
        <f>IF(guodubiaoge!$B21="Te0-10",[5]guodubiaoge!$J21,
IF(guodubiaoge!$D21="Te0-10",[5]guodubiaoge!$K21,
IF(guodubiaoge!$F21="Te0-10",[5]guodubiaoge!$L21,
IF(guodubiaoge!$H21="Te0-10",[5]guodubiaoge!$M21,""))))</f>
        <v>-8.0279115479113997E-2</v>
      </c>
      <c r="L21">
        <f>IF(guodubiaoge!$B21="Te0",[5]guodubiaoge!$N21,
IF(guodubiaoge!$D21="Te0",[5]guodubiaoge!$O21,
IF(guodubiaoge!$F21="Te0",[5]guodubiaoge!$P21,
IF(guodubiaoge!$H21="Te0",[5]guodubiaoge!$Q21,""))))</f>
        <v>-4.6480339609233896</v>
      </c>
      <c r="M21">
        <f>IF(guodubiaoge!$B21="Te0+HF+6",[5]guodubiaoge!$N21,
IF(guodubiaoge!$D21="Te0+HF+6",[5]guodubiaoge!$O21,
IF(guodubiaoge!$F21="Te0+HF+6",[5]guodubiaoge!$P21,
IF(guodubiaoge!$H21="Te0+HF+6",[5]guodubiaoge!$Q21,""))))</f>
        <v>28.394996195216599</v>
      </c>
      <c r="N21">
        <f>IF(guodubiaoge!$B21="Te0+Sim+10",[5]guodubiaoge!$N21,
IF(guodubiaoge!$D21="Te0+Sim+10",[5]guodubiaoge!$O21,
IF(guodubiaoge!$F21="Te0+Sim+10",[5]guodubiaoge!$P21,
IF(guodubiaoge!$H21="Te0+Sim+10",[5]guodubiaoge!$Q21,""))))</f>
        <v>-72.195333787737795</v>
      </c>
      <c r="O21" t="str">
        <f>IF(guodubiaoge!$B21="Te0+SL+10",[5]guodubiaoge!$N21,
IF(guodubiaoge!$D21="Te0+SL+10",[5]guodubiaoge!$O21,
IF(guodubiaoge!$F21="Te0+SL+10",[5]guodubiaoge!$P21,
IF(guodubiaoge!$H21="Te0+SL+10",[5]guodubiaoge!$Q21,""))))</f>
        <v/>
      </c>
      <c r="P21">
        <f>IF(guodubiaoge!$B21="Te0-10",[5]guodubiaoge!$N21,
IF(guodubiaoge!$D21="Te0-10",[5]guodubiaoge!$O21,
IF(guodubiaoge!$F21="Te0-10",[5]guodubiaoge!$P21,
IF(guodubiaoge!$H21="Te0-10",[5]guodubiaoge!$Q21,""))))</f>
        <v>-34.765600439671999</v>
      </c>
      <c r="Q21">
        <f>IF(guodubiaoge!$B21="Te0",[5]guodubiaoge!$R21,
IF(guodubiaoge!$D21="Te0",[5]guodubiaoge!$S21,
IF(guodubiaoge!$F21="Te0",[5]guodubiaoge!$T21,
IF(guodubiaoge!$H21="Te0",[5]guodubiaoge!$U21,""))))</f>
        <v>6</v>
      </c>
      <c r="R21">
        <f>IF(guodubiaoge!$B21="Te0+HF+6",[5]guodubiaoge!$R21,
IF(guodubiaoge!$D21="Te0+HF+6",[5]guodubiaoge!$S21,
IF(guodubiaoge!$F21="Te0+HF+6",[5]guodubiaoge!$T21,
IF(guodubiaoge!$H21="Te0+HF+6",[5]guodubiaoge!$U21,""))))</f>
        <v>7</v>
      </c>
      <c r="S21">
        <f>IF(guodubiaoge!$B21="Te0+Sim+10",[5]guodubiaoge!$R21,
IF(guodubiaoge!$D21="Te0+Sim+10",[5]guodubiaoge!$S21,
IF(guodubiaoge!$F21="Te0+Sim+10",[5]guodubiaoge!$T21,
IF(guodubiaoge!$H21="Te0+Sim+10",[5]guodubiaoge!$U21,""))))</f>
        <v>7</v>
      </c>
      <c r="T21" t="str">
        <f>IF(guodubiaoge!$B21="Te0+SL+10",[5]guodubiaoge!$R21,
IF(guodubiaoge!$D21="Te0+SL+10",[5]guodubiaoge!$S21,
IF(guodubiaoge!$F21="Te0+SL+10",[5]guodubiaoge!$T21,
IF(guodubiaoge!$H21="Te0+SL+10",[5]guodubiaoge!$U21,""))))</f>
        <v/>
      </c>
      <c r="U21">
        <f>IF(guodubiaoge!$B21="Te0-10",[5]guodubiaoge!$R21,
IF(guodubiaoge!$D21="Te0-10",[5]guodubiaoge!$S21,
IF(guodubiaoge!$F21="Te0-10",[5]guodubiaoge!$T21,
IF(guodubiaoge!$H21="Te0-10",[5]guodubiaoge!$U21,""))))</f>
        <v>7</v>
      </c>
      <c r="V21">
        <f>IF(guodubiaoge!$B21="Te0",[5]guodubiaoge!$V21,
IF(guodubiaoge!$D21="Te0",[5]guodubiaoge!$W21,
IF(guodubiaoge!$F21="Te0",[5]guodubiaoge!$X21,
IF(guodubiaoge!$H21="Te0",[5]guodubiaoge!$Y21,""))))</f>
        <v>7</v>
      </c>
      <c r="W21">
        <f>IF(guodubiaoge!$B21="Te0+HF+6",[5]guodubiaoge!$V21,
IF(guodubiaoge!$D21="Te0+HF+6",[5]guodubiaoge!$W21,
IF(guodubiaoge!$F21="Te0+HF+6",[5]guodubiaoge!$X21,
IF(guodubiaoge!$H21="Te0+HF+6",[5]guodubiaoge!$Y21,""))))</f>
        <v>6</v>
      </c>
      <c r="X21">
        <f>IF(guodubiaoge!$B21="Te0+Sim+10",[5]guodubiaoge!$V21,
IF(guodubiaoge!$D21="Te0+Sim+10",[5]guodubiaoge!$W21,
IF(guodubiaoge!$F21="Te0+Sim+10",[5]guodubiaoge!$X21,
IF(guodubiaoge!$H21="Te0+Sim+10",[5]guodubiaoge!$Y21,""))))</f>
        <v>7</v>
      </c>
      <c r="Y21" t="str">
        <f>IF(guodubiaoge!$B21="Te0+SL+10",[5]guodubiaoge!$U21,
IF(guodubiaoge!$D21="Te0+SL+10",[5]guodubiaoge!$W21,
IF(guodubiaoge!$F21="Te0+SL+10",[5]guodubiaoge!$X21,
IF(guodubiaoge!$H21="Te0+SL+10",[5]guodubiaoge!$Y21,""))))</f>
        <v/>
      </c>
      <c r="Z21">
        <f>IF(guodubiaoge!$B21="Te0-10",[5]guodubiaoge!$U21,
IF(guodubiaoge!$D21="Te0-10",[5]guodubiaoge!$W21,
IF(guodubiaoge!$F21="Te0-10",[5]guodubiaoge!$X21,
IF(guodubiaoge!$H21="Te0-10",[5]guodubiaoge!$Y21,""))))</f>
        <v>7</v>
      </c>
      <c r="AA21">
        <f>IF(guodubiaoge!$B21="Te0",[5]guodubiaoge!$Z21,
IF(guodubiaoge!$D21="Te0",[5]guodubiaoge!$AA21,
IF(guodubiaoge!$F21="Te0",[5]guodubiaoge!$AB21,
IF(guodubiaoge!$H21="Te0",[5]guodubiaoge!$AC21,""))))</f>
        <v>-132.326737895451</v>
      </c>
      <c r="AB21">
        <f>IF(guodubiaoge!$B21="Te0+HF+6",[5]guodubiaoge!$Z21,
IF(guodubiaoge!$D21="Te0+HF+6",[5]guodubiaoge!$AA21,
IF(guodubiaoge!$F21="Te0+HF+6",[5]guodubiaoge!$AB21,
IF(guodubiaoge!$H21="Te0+HF+6",[5]guodubiaoge!$AC21,""))))</f>
        <v>-37.884082734204803</v>
      </c>
      <c r="AC21">
        <f>IF(guodubiaoge!$B21="Te0+Sim+10",[5]guodubiaoge!$Z21,
IF(guodubiaoge!$D21="Te0+Sim+10",[5]guodubiaoge!$AA21,
IF(guodubiaoge!$F21="Te0+Sim+10",[5]guodubiaoge!$AB21,
IF(guodubiaoge!$H21="Te0+Sim+10",[5]guodubiaoge!$AC21,""))))</f>
        <v>-59.4961843001144</v>
      </c>
      <c r="AD21" t="str">
        <f>IF(guodubiaoge!$B21="Te0+SL+10",[5]guodubiaoge!$Z21,
IF(guodubiaoge!$D21="Te0+SL+10",[5]guodubiaoge!$AA21,
IF(guodubiaoge!$F21="Te0+SL+10",[5]guodubiaoge!$AB21,
IF(guodubiaoge!$H21="Te0+SL+10",[5]guodubiaoge!$AC21,""))))</f>
        <v/>
      </c>
      <c r="AE21">
        <f>IF(guodubiaoge!$B21="Te0-10",[5]guodubiaoge!$Z21,
IF(guodubiaoge!$D21="Te0-10",[5]guodubiaoge!$AA21,
IF(guodubiaoge!$F21="Te0-10",[5]guodubiaoge!$AB21,
IF(guodubiaoge!$H21="Te0-10",[5]guodubiaoge!$AC21,""))))</f>
        <v>-27.2213572225271</v>
      </c>
      <c r="AF21">
        <f t="shared" si="0"/>
        <v>4.3998978562882609</v>
      </c>
      <c r="AG21">
        <f t="shared" si="1"/>
        <v>0.49627081755501595</v>
      </c>
      <c r="AH21" t="str">
        <f t="shared" si="2"/>
        <v/>
      </c>
      <c r="AI21">
        <f t="shared" si="3"/>
        <v>1.2750746960750647</v>
      </c>
      <c r="AJ21">
        <f t="shared" si="4"/>
        <v>-4.1548933727195925E-2</v>
      </c>
      <c r="AK21" t="str">
        <f t="shared" si="5"/>
        <v/>
      </c>
      <c r="AL21">
        <f t="shared" si="6"/>
        <v>5.6749725523633252</v>
      </c>
      <c r="AM21">
        <f t="shared" si="7"/>
        <v>0.45472188382782003</v>
      </c>
      <c r="AN21" t="str">
        <f t="shared" si="8"/>
        <v/>
      </c>
      <c r="AO21">
        <f t="shared" si="9"/>
        <v>5.1111063710508026E-2</v>
      </c>
      <c r="AP21">
        <f t="shared" si="10"/>
        <v>-0.5841396982206688</v>
      </c>
      <c r="AQ21" t="str">
        <f t="shared" si="11"/>
        <v/>
      </c>
      <c r="AR21">
        <f t="shared" si="12"/>
        <v>-0.27698040101815541</v>
      </c>
      <c r="AS21">
        <f t="shared" si="13"/>
        <v>-0.74419449729280163</v>
      </c>
      <c r="AT21" t="str">
        <f t="shared" si="14"/>
        <v/>
      </c>
      <c r="AU21">
        <f t="shared" si="15"/>
        <v>-3.6594706573470193E-2</v>
      </c>
      <c r="AV21">
        <f t="shared" si="16"/>
        <v>-0.67532188106385838</v>
      </c>
      <c r="AW21" t="str">
        <f t="shared" si="17"/>
        <v/>
      </c>
      <c r="AX21" s="21">
        <f t="shared" si="18"/>
        <v>8.6980024413108911E-2</v>
      </c>
      <c r="AY21">
        <f t="shared" si="19"/>
        <v>0.44272495331181688</v>
      </c>
      <c r="AZ21">
        <f t="shared" si="20"/>
        <v>-0.11664019627792016</v>
      </c>
      <c r="BA21" t="str">
        <f t="shared" si="21"/>
        <v/>
      </c>
      <c r="BB21">
        <f>IF(guodubiaoge!$B21="TE0",[5]guodubiaoge!$AD21,
IF(guodubiaoge!$D21="TE0",[5]guodubiaoge!$AE21,
IF(guodubiaoge!$F21="TE0",[5]guodubiaoge!$AF21,
IF(guodubiaoge!$H21="TE0",[5]guodubiaoge!$AG21,""))))</f>
        <v>-1.7226015013429199E-2</v>
      </c>
      <c r="BC21">
        <f>IF(guodubiaoge!$B21="TE0+HF+6",[5]guodubiaoge!$AD21,
IF(guodubiaoge!$D21="TE0+HF+6",[5]guodubiaoge!$AE21,
IF(guodubiaoge!$F21="TE0+HF+6",[5]guodubiaoge!$AF21,
IF(guodubiaoge!$H21="TE0+HF+6",[5]guodubiaoge!$AG21,""))))</f>
        <v>-5.2547953638311402E-3</v>
      </c>
      <c r="BD21">
        <f>IF(guodubiaoge!$B21="TE0+Sim+10",[5]guodubiaoge!$AD21,
IF(guodubiaoge!$D21="TE0+Sim+10",[5]guodubiaoge!$AE21,
IF(guodubiaoge!$F21="TE0+Sim+10",[5]guodubiaoge!$AF21,
IF(guodubiaoge!$H21="TE0+Sim+10",[5]guodubiaoge!$AG21,""))))</f>
        <v>5.1805763901485004E-3</v>
      </c>
      <c r="BE21" t="str">
        <f>IF(guodubiaoge!$B21="TE0+SL+10",[5]guodubiaoge!$AD21,
IF(guodubiaoge!$D21="TE0+SL+10",[5]guodubiaoge!$AE21,
IF(guodubiaoge!$F21="TE0+SL+10",[5]guodubiaoge!$AF21,
IF(guodubiaoge!$H21="TE0+SL+10",[5]guodubiaoge!$AG21,""))))</f>
        <v/>
      </c>
      <c r="BF21">
        <f>IF(guodubiaoge!$B21="TE0",[5]guodubiaoge!$AH21,
IF(guodubiaoge!$D21="TE0",[5]guodubiaoge!$AI21,
IF(guodubiaoge!$F21="TE0",[5]guodubiaoge!$AJ21,
IF(guodubiaoge!$H21="TE0",[5]guodubiaoge!$AK21,""))))</f>
        <v>-1.6741155660377999E-2</v>
      </c>
      <c r="BG21">
        <f>IF(guodubiaoge!$B21="TE0+HF+6",[5]guodubiaoge!$AH21,
IF(guodubiaoge!$D21="TE0+HF+6",[5]guodubiaoge!$AI21,
IF(guodubiaoge!$F21="TE0+HF+6",[5]guodubiaoge!$AJ21,
IF(guodubiaoge!$H21="TE0+HF+6",[5]guodubiaoge!$AK21,""))))</f>
        <v>-4.9115012106536897E-2</v>
      </c>
      <c r="BH21">
        <f>IF(guodubiaoge!$B21="TE0+Sim+10",[5]guodubiaoge!$AH21,
IF(guodubiaoge!$D21="TE0+Sim+10",[5]guodubiaoge!$AI21,
IF(guodubiaoge!$F21="TE0+Sim+10",[5]guodubiaoge!$AJ21,
IF(guodubiaoge!$H21="TE0+Sim+10",[5]guodubiaoge!$AK21,""))))</f>
        <v>-4.0878004035956303E-2</v>
      </c>
      <c r="BI21" t="str">
        <f>IF(guodubiaoge!$B21="TE0+SL+10",[5]guodubiaoge!$AH21,
IF(guodubiaoge!$D21="TE0+SL+10",[5]guodubiaoge!$AI21,
IF(guodubiaoge!$F21="TE0+SL+10",[5]guodubiaoge!$AJ21,
IF(guodubiaoge!$H21="TE0+SL+10",[5]guodubiaoge!$AK21,""))))</f>
        <v/>
      </c>
      <c r="BJ21">
        <f>IF(guodubiaoge!$B21="TE0",[5]guodubiaoge!$AL21,
IF(guodubiaoge!$D21="TE0",[5]guodubiaoge!$AM21,
IF(guodubiaoge!$F21="TE0",[5]guodubiaoge!$AN21,
IF(guodubiaoge!$H21="TE0",[5]guodubiaoge!$AO21,""))))</f>
        <v>-185.662825225202</v>
      </c>
      <c r="BK21">
        <f>IF(guodubiaoge!$B21="TE0+HF+6",[5]guodubiaoge!$AL21,
IF(guodubiaoge!$D21="TE0+HF+6",[5]guodubiaoge!$AM21,
IF(guodubiaoge!$F21="TE0+HF+6",[5]guodubiaoge!$AN21,
IF(guodubiaoge!$H21="TE0+HF+6",[5]guodubiaoge!$AO21,""))))</f>
        <v>17.894133116751199</v>
      </c>
      <c r="BL21">
        <f>IF(guodubiaoge!$B21="TE0+Sim+10",[5]guodubiaoge!$AL21,
IF(guodubiaoge!$D21="TE0+Sim+10",[5]guodubiaoge!$AM21,
IF(guodubiaoge!$F21="TE0+Sim+10",[5]guodubiaoge!$AN21,
IF(guodubiaoge!$H21="TE0+Sim+10",[5]guodubiaoge!$AO21,""))))</f>
        <v>-78.429497874589103</v>
      </c>
      <c r="BM21" t="str">
        <f>IF(guodubiaoge!$B21="TE0+SL+10",[5]guodubiaoge!$AL21,
IF(guodubiaoge!$D21="TE0+SL+10",[5]guodubiaoge!$AM21,
IF(guodubiaoge!$F21="TE0+SL+10",[5]guodubiaoge!$AN21,
IF(guodubiaoge!$H21="TE0+SL+10",[5]guodubiaoge!$AO21,""))))</f>
        <v/>
      </c>
      <c r="BN21">
        <f>IF(guodubiaoge!$B21="TE0",[5]guodubiaoge!$AP21,
IF(guodubiaoge!$D21="TE0",[5]guodubiaoge!$AQ21,
IF(guodubiaoge!$F21="TE0",[5]guodubiaoge!$AR21,
IF(guodubiaoge!$H21="TE0",[5]guodubiaoge!$AS21,""))))</f>
        <v>4.1112205579645797</v>
      </c>
      <c r="BO21">
        <f>IF(guodubiaoge!$B21="TE0+HF+6",[5]guodubiaoge!$AP21,
IF(guodubiaoge!$D21="TE0+HF+6",[5]guodubiaoge!$AQ21,
IF(guodubiaoge!$F21="TE0+HF+6",[5]guodubiaoge!$AR21,
IF(guodubiaoge!$H21="TE0+HF+6",[5]guodubiaoge!$AS21,""))))</f>
        <v>8.2338168795898206</v>
      </c>
      <c r="BP21">
        <f>IF(guodubiaoge!$B21="TE0+Sim+10",[5]guodubiaoge!$AP21,
IF(guodubiaoge!$D21="TE0+Sim+10",[5]guodubiaoge!$AQ21,
IF(guodubiaoge!$F21="TE0+Sim+10",[5]guodubiaoge!$AR21,
IF(guodubiaoge!$H21="TE0+Sim+10",[5]guodubiaoge!$AS21,""))))</f>
        <v>-49.0691554677299</v>
      </c>
      <c r="BQ21" t="str">
        <f>IF(guodubiaoge!$B21="TE0+SL+10",[5]guodubiaoge!$AP21,
IF(guodubiaoge!$D21="TE0+SL+10",[5]guodubiaoge!$AQ21,
IF(guodubiaoge!$F21="TE0+SL+10",[5]guodubiaoge!$AR21,
IF(guodubiaoge!$H21="TE0+SL+10",[5]guodubiaoge!$AS21,""))))</f>
        <v/>
      </c>
      <c r="BR21">
        <f t="shared" si="22"/>
        <v>-3.0003111732344765</v>
      </c>
      <c r="BS21" s="26">
        <f t="shared" si="23"/>
        <v>-0.44276717205507582</v>
      </c>
      <c r="BT21" s="26">
        <f t="shared" si="24"/>
        <v>-0.2850646908878004</v>
      </c>
      <c r="BU21" s="26" t="str">
        <f t="shared" si="25"/>
        <v/>
      </c>
      <c r="BV21" s="26">
        <f t="shared" si="26"/>
        <v>5.6968138710128187E-2</v>
      </c>
      <c r="BW21">
        <f t="shared" si="27"/>
        <v>-0.85382135793708192</v>
      </c>
      <c r="BX21">
        <f t="shared" si="28"/>
        <v>0.22330413704301022</v>
      </c>
      <c r="BY21" t="str">
        <f t="shared" si="29"/>
        <v/>
      </c>
      <c r="BZ21">
        <f t="shared" si="30"/>
        <v>-0.68456361107338703</v>
      </c>
      <c r="CA21">
        <f t="shared" si="31"/>
        <v>-1.4644392953519967E-2</v>
      </c>
      <c r="CB21">
        <f t="shared" si="32"/>
        <v>-0.52493617312366647</v>
      </c>
      <c r="CC21" t="str">
        <f t="shared" si="33"/>
        <v/>
      </c>
      <c r="CD21">
        <f t="shared" si="34"/>
        <v>8.6255830219470378E-2</v>
      </c>
      <c r="CE21">
        <f t="shared" si="35"/>
        <v>-8.7705770283978218E-2</v>
      </c>
      <c r="CF21">
        <f t="shared" si="36"/>
        <v>-9.1182182843189588E-2</v>
      </c>
      <c r="CG21" t="str">
        <f t="shared" si="37"/>
        <v/>
      </c>
      <c r="CH21">
        <f t="shared" si="38"/>
        <v>-2.9433430345243483</v>
      </c>
      <c r="CI21">
        <f t="shared" si="39"/>
        <v>-1.2965885299921578</v>
      </c>
      <c r="CJ21">
        <f t="shared" si="40"/>
        <v>-6.1760553844790178E-2</v>
      </c>
      <c r="CK21" t="str">
        <f t="shared" si="41"/>
        <v/>
      </c>
      <c r="CL21">
        <f t="shared" si="42"/>
        <v>-1.3542231277966268</v>
      </c>
      <c r="CM21">
        <f t="shared" si="43"/>
        <v>-0.2916247939716754</v>
      </c>
      <c r="CN21">
        <f t="shared" si="44"/>
        <v>-1.2691306704164682</v>
      </c>
      <c r="CO21" t="str">
        <f t="shared" si="45"/>
        <v/>
      </c>
      <c r="CP21">
        <f>IF(AA21="","",(AA21-AVERAGE($AA$2:AA$26))/_xlfn.STDEV.S($AA$2:$AA$26))</f>
        <v>-0.66965951672323965</v>
      </c>
      <c r="CQ21">
        <f>IF(L21="","",(L21-AVERAGE($L$2:L$26))/_xlfn.STDEV.S($L$2:$L$26))</f>
        <v>0.16042751707049829</v>
      </c>
      <c r="CR21">
        <f t="shared" si="46"/>
        <v>0.24668334728996866</v>
      </c>
      <c r="CS21">
        <f>IF(B21="","",(B21-AVERAGE($B$2:B$26))/_xlfn.STDEV.S($B$2:$B$26))</f>
        <v>-0.5499472313197219</v>
      </c>
      <c r="CT21">
        <f>IF(G21="","",(G21-AVERAGE($G$2:G$26))/_xlfn.STDEV.S($G$2:$G$26))</f>
        <v>-1.3896894150756565</v>
      </c>
      <c r="CU21">
        <f t="shared" si="47"/>
        <v>-1.9396366463953782</v>
      </c>
    </row>
    <row r="22" spans="1:99">
      <c r="A22">
        <v>21</v>
      </c>
      <c r="B22" s="21">
        <f>IF(guodubiaoge!$B22="Te0",[5]guodubiaoge!$C22,
IF(guodubiaoge!$D22="Te0",[5]guodubiaoge!$E22,
IF(guodubiaoge!$F22="Te0",[5]guodubiaoge!$G22,
IF(guodubiaoge!$H22="Te0",[5]guodubiaoge!$I22,""))))</f>
        <v>3.0073267347888E-3</v>
      </c>
      <c r="C22">
        <f>IF(guodubiaoge!$B22="Te0+HF+6",[5]guodubiaoge!$C22,
IF(guodubiaoge!$D22="Te0+HF+6",[5]guodubiaoge!$E22,
IF(guodubiaoge!$F22="Te0+HF+6",[5]guodubiaoge!$G22,
IF(guodubiaoge!$H22="Te0+HF+6",[5]guodubiaoge!$I22,""))))</f>
        <v>8.7675457310652999E-4</v>
      </c>
      <c r="D22">
        <f>IF(guodubiaoge!$B22="Te0+Sim+10",[5]guodubiaoge!$C22,
IF(guodubiaoge!$D22="Te0+Sim+10",[5]guodubiaoge!$E22,
IF(guodubiaoge!$F22="Te0+Sim+10",[5]guodubiaoge!$G22,
IF(guodubiaoge!$H22="Te0+Sim+10",[5]guodubiaoge!$I22,""))))</f>
        <v>8.7046558156017096E-4</v>
      </c>
      <c r="E22" t="str">
        <f>IF(guodubiaoge!$B22="Te0+SL+10",[5]guodubiaoge!$C22,
IF(guodubiaoge!$D22="Te0+SL+10",[5]guodubiaoge!$E22,
IF(guodubiaoge!$F22="Te0+SL+10",[5]guodubiaoge!$G22,
IF(guodubiaoge!$H22="Te0+SL+10",[5]guodubiaoge!$I22,""))))</f>
        <v/>
      </c>
      <c r="F22">
        <f>IF(guodubiaoge!$B22="Te0-10",[5]guodubiaoge!$C22,
IF(guodubiaoge!$D22="Te0-10",[5]guodubiaoge!$E22,
IF(guodubiaoge!$F22="Te0-10",[5]guodubiaoge!$G22,
IF(guodubiaoge!$H22="Te0-10",[5]guodubiaoge!$I22,""))))</f>
        <v>9.36666979909731E-4</v>
      </c>
      <c r="G22">
        <f>IF(guodubiaoge!$B22="Te0",[5]guodubiaoge!$J22,
IF(guodubiaoge!$D22="Te0",[5]guodubiaoge!$K22,
IF(guodubiaoge!$F22="Te0",[5]guodubiaoge!$L22,
IF(guodubiaoge!$H22="Te0",[5]guodubiaoge!$M22,""))))</f>
        <v>0.166591657688164</v>
      </c>
      <c r="H22">
        <f>IF(guodubiaoge!$B22="Te0+HF+6",[5]guodubiaoge!$J22,
IF(guodubiaoge!$D22="Te0+HF+6",[5]guodubiaoge!$K22,
IF(guodubiaoge!$F22="Te0+HF+6",[5]guodubiaoge!$L22,
IF(guodubiaoge!$H22="Te0+HF+6",[5]guodubiaoge!$M22,""))))</f>
        <v>-5.5402928672651001E-2</v>
      </c>
      <c r="I22">
        <f>IF(guodubiaoge!$B22="Te0+Sim+10",[5]guodubiaoge!$J22,
IF(guodubiaoge!$D22="Te0+Sim+10",[5]guodubiaoge!$K22,
IF(guodubiaoge!$F22="Te0+Sim+10",[5]guodubiaoge!$L22,
IF(guodubiaoge!$H22="Te0+Sim+10",[5]guodubiaoge!$M22,""))))</f>
        <v>1.35041050903114E-2</v>
      </c>
      <c r="J22" t="str">
        <f>IF(guodubiaoge!$B22="Te0+SL+10",[5]guodubiaoge!$J22,
IF(guodubiaoge!$D22="Te0+SL+10",[5]guodubiaoge!$K22,
IF(guodubiaoge!$F22="Te0+SL+10",[5]guodubiaoge!$L22,
IF(guodubiaoge!$H22="Te0+SL+10",[5]guodubiaoge!$M22,""))))</f>
        <v/>
      </c>
      <c r="K22">
        <f>IF(guodubiaoge!$B22="Te0-10",[5]guodubiaoge!$J22,
IF(guodubiaoge!$D22="Te0-10",[5]guodubiaoge!$K22,
IF(guodubiaoge!$F22="Te0-10",[5]guodubiaoge!$L22,
IF(guodubiaoge!$H22="Te0-10",[5]guodubiaoge!$M22,""))))</f>
        <v>-8.7951598962834297E-3</v>
      </c>
      <c r="L22">
        <f>IF(guodubiaoge!$B22="Te0",[5]guodubiaoge!$N22,
IF(guodubiaoge!$D22="Te0",[5]guodubiaoge!$O22,
IF(guodubiaoge!$F22="Te0",[5]guodubiaoge!$P22,
IF(guodubiaoge!$H22="Te0",[5]guodubiaoge!$Q22,""))))</f>
        <v>371.28971523931801</v>
      </c>
      <c r="M22">
        <f>IF(guodubiaoge!$B22="Te0+HF+6",[5]guodubiaoge!$N22,
IF(guodubiaoge!$D22="Te0+HF+6",[5]guodubiaoge!$O22,
IF(guodubiaoge!$F22="Te0+HF+6",[5]guodubiaoge!$P22,
IF(guodubiaoge!$H22="Te0+HF+6",[5]guodubiaoge!$Q22,""))))</f>
        <v>25.6236144163672</v>
      </c>
      <c r="N22">
        <f>IF(guodubiaoge!$B22="Te0+Sim+10",[5]guodubiaoge!$N22,
IF(guodubiaoge!$D22="Te0+Sim+10",[5]guodubiaoge!$O22,
IF(guodubiaoge!$F22="Te0+Sim+10",[5]guodubiaoge!$P22,
IF(guodubiaoge!$H22="Te0+Sim+10",[5]guodubiaoge!$Q22,""))))</f>
        <v>-11.112135404683499</v>
      </c>
      <c r="O22" t="str">
        <f>IF(guodubiaoge!$B22="Te0+SL+10",[5]guodubiaoge!$N22,
IF(guodubiaoge!$D22="Te0+SL+10",[5]guodubiaoge!$O22,
IF(guodubiaoge!$F22="Te0+SL+10",[5]guodubiaoge!$P22,
IF(guodubiaoge!$H22="Te0+SL+10",[5]guodubiaoge!$Q22,""))))</f>
        <v/>
      </c>
      <c r="P22">
        <f>IF(guodubiaoge!$B22="Te0-10",[5]guodubiaoge!$N22,
IF(guodubiaoge!$D22="Te0-10",[5]guodubiaoge!$O22,
IF(guodubiaoge!$F22="Te0-10",[5]guodubiaoge!$P22,
IF(guodubiaoge!$H22="Te0-10",[5]guodubiaoge!$Q22,""))))</f>
        <v>15.853720105529201</v>
      </c>
      <c r="Q22">
        <f>IF(guodubiaoge!$B22="Te0",[5]guodubiaoge!$R22,
IF(guodubiaoge!$D22="Te0",[5]guodubiaoge!$S22,
IF(guodubiaoge!$F22="Te0",[5]guodubiaoge!$T22,
IF(guodubiaoge!$H22="Te0",[5]guodubiaoge!$U22,""))))</f>
        <v>7</v>
      </c>
      <c r="R22">
        <f>IF(guodubiaoge!$B22="Te0+HF+6",[5]guodubiaoge!$R22,
IF(guodubiaoge!$D22="Te0+HF+6",[5]guodubiaoge!$S22,
IF(guodubiaoge!$F22="Te0+HF+6",[5]guodubiaoge!$T22,
IF(guodubiaoge!$H22="Te0+HF+6",[5]guodubiaoge!$U22,""))))</f>
        <v>7</v>
      </c>
      <c r="S22">
        <f>IF(guodubiaoge!$B22="Te0+Sim+10",[5]guodubiaoge!$R22,
IF(guodubiaoge!$D22="Te0+Sim+10",[5]guodubiaoge!$S22,
IF(guodubiaoge!$F22="Te0+Sim+10",[5]guodubiaoge!$T22,
IF(guodubiaoge!$H22="Te0+Sim+10",[5]guodubiaoge!$U22,""))))</f>
        <v>7</v>
      </c>
      <c r="T22" t="str">
        <f>IF(guodubiaoge!$B22="Te0+SL+10",[5]guodubiaoge!$R22,
IF(guodubiaoge!$D22="Te0+SL+10",[5]guodubiaoge!$S22,
IF(guodubiaoge!$F22="Te0+SL+10",[5]guodubiaoge!$T22,
IF(guodubiaoge!$H22="Te0+SL+10",[5]guodubiaoge!$U22,""))))</f>
        <v/>
      </c>
      <c r="U22">
        <f>IF(guodubiaoge!$B22="Te0-10",[5]guodubiaoge!$R22,
IF(guodubiaoge!$D22="Te0-10",[5]guodubiaoge!$S22,
IF(guodubiaoge!$F22="Te0-10",[5]guodubiaoge!$T22,
IF(guodubiaoge!$H22="Te0-10",[5]guodubiaoge!$U22,""))))</f>
        <v>7</v>
      </c>
      <c r="V22">
        <f>IF(guodubiaoge!$B22="Te0",[5]guodubiaoge!$V22,
IF(guodubiaoge!$D22="Te0",[5]guodubiaoge!$W22,
IF(guodubiaoge!$F22="Te0",[5]guodubiaoge!$X22,
IF(guodubiaoge!$H22="Te0",[5]guodubiaoge!$Y22,""))))</f>
        <v>8</v>
      </c>
      <c r="W22">
        <f>IF(guodubiaoge!$B22="Te0+HF+6",[5]guodubiaoge!$V22,
IF(guodubiaoge!$D22="Te0+HF+6",[5]guodubiaoge!$W22,
IF(guodubiaoge!$F22="Te0+HF+6",[5]guodubiaoge!$X22,
IF(guodubiaoge!$H22="Te0+HF+6",[5]guodubiaoge!$Y22,""))))</f>
        <v>8</v>
      </c>
      <c r="X22">
        <f>IF(guodubiaoge!$B22="Te0+Sim+10",[5]guodubiaoge!$V22,
IF(guodubiaoge!$D22="Te0+Sim+10",[5]guodubiaoge!$W22,
IF(guodubiaoge!$F22="Te0+Sim+10",[5]guodubiaoge!$X22,
IF(guodubiaoge!$H22="Te0+Sim+10",[5]guodubiaoge!$Y22,""))))</f>
        <v>8</v>
      </c>
      <c r="Y22" t="str">
        <f>IF(guodubiaoge!$B22="Te0+SL+10",[5]guodubiaoge!$U22,
IF(guodubiaoge!$D22="Te0+SL+10",[5]guodubiaoge!$W22,
IF(guodubiaoge!$F22="Te0+SL+10",[5]guodubiaoge!$X22,
IF(guodubiaoge!$H22="Te0+SL+10",[5]guodubiaoge!$Y22,""))))</f>
        <v/>
      </c>
      <c r="Z22">
        <f>IF(guodubiaoge!$B22="Te0-10",[5]guodubiaoge!$U22,
IF(guodubiaoge!$D22="Te0-10",[5]guodubiaoge!$W22,
IF(guodubiaoge!$F22="Te0-10",[5]guodubiaoge!$X22,
IF(guodubiaoge!$H22="Te0-10",[5]guodubiaoge!$Y22,""))))</f>
        <v>8</v>
      </c>
      <c r="AA22">
        <f>IF(guodubiaoge!$B22="Te0",[5]guodubiaoge!$Z22,
IF(guodubiaoge!$D22="Te0",[5]guodubiaoge!$AA22,
IF(guodubiaoge!$F22="Te0",[5]guodubiaoge!$AB22,
IF(guodubiaoge!$H22="Te0",[5]guodubiaoge!$AC22,""))))</f>
        <v>-309.97458588699999</v>
      </c>
      <c r="AB22">
        <f>IF(guodubiaoge!$B22="Te0+HF+6",[5]guodubiaoge!$Z22,
IF(guodubiaoge!$D22="Te0+HF+6",[5]guodubiaoge!$AA22,
IF(guodubiaoge!$F22="Te0+HF+6",[5]guodubiaoge!$AB22,
IF(guodubiaoge!$H22="Te0+HF+6",[5]guodubiaoge!$AC22,""))))</f>
        <v>14.9810368206336</v>
      </c>
      <c r="AC22">
        <f>IF(guodubiaoge!$B22="Te0+Sim+10",[5]guodubiaoge!$Z22,
IF(guodubiaoge!$D22="Te0+Sim+10",[5]guodubiaoge!$AA22,
IF(guodubiaoge!$F22="Te0+Sim+10",[5]guodubiaoge!$AB22,
IF(guodubiaoge!$H22="Te0+Sim+10",[5]guodubiaoge!$AC22,""))))</f>
        <v>0.45932550151807999</v>
      </c>
      <c r="AD22" t="str">
        <f>IF(guodubiaoge!$B22="Te0+SL+10",[5]guodubiaoge!$Z22,
IF(guodubiaoge!$D22="Te0+SL+10",[5]guodubiaoge!$AA22,
IF(guodubiaoge!$F22="Te0+SL+10",[5]guodubiaoge!$AB22,
IF(guodubiaoge!$H22="Te0+SL+10",[5]guodubiaoge!$AC22,""))))</f>
        <v/>
      </c>
      <c r="AE22">
        <f>IF(guodubiaoge!$B22="Te0-10",[5]guodubiaoge!$Z22,
IF(guodubiaoge!$D22="Te0-10",[5]guodubiaoge!$AA22,
IF(guodubiaoge!$F22="Te0-10",[5]guodubiaoge!$AB22,
IF(guodubiaoge!$H22="Te0-10",[5]guodubiaoge!$AC22,""))))</f>
        <v>24.324470465973899</v>
      </c>
      <c r="AF22">
        <f t="shared" si="0"/>
        <v>2.0895164745941799E-2</v>
      </c>
      <c r="AG22">
        <f t="shared" si="1"/>
        <v>0.24928606794647964</v>
      </c>
      <c r="AH22" t="str">
        <f t="shared" si="2"/>
        <v/>
      </c>
      <c r="AI22">
        <f t="shared" si="3"/>
        <v>-0.98713414946535283</v>
      </c>
      <c r="AJ22">
        <f t="shared" si="4"/>
        <v>0.13185572693609174</v>
      </c>
      <c r="AK22" t="str">
        <f t="shared" si="5"/>
        <v/>
      </c>
      <c r="AL22">
        <f t="shared" si="6"/>
        <v>-0.96623898471941105</v>
      </c>
      <c r="AM22">
        <f t="shared" si="7"/>
        <v>0.38114179488257138</v>
      </c>
      <c r="AN22" t="str">
        <f t="shared" si="8"/>
        <v/>
      </c>
      <c r="AO22">
        <f t="shared" si="9"/>
        <v>4.0004162068799511E-2</v>
      </c>
      <c r="AP22">
        <f t="shared" si="10"/>
        <v>-0.4190483730229132</v>
      </c>
      <c r="AQ22" t="str">
        <f t="shared" si="11"/>
        <v/>
      </c>
      <c r="AR22">
        <f t="shared" si="12"/>
        <v>5.607657017802091E-2</v>
      </c>
      <c r="AS22">
        <f t="shared" si="13"/>
        <v>-0.13870534737582285</v>
      </c>
      <c r="AT22" t="str">
        <f t="shared" si="14"/>
        <v/>
      </c>
      <c r="AU22">
        <f t="shared" si="15"/>
        <v>-1.0941703119869688E-2</v>
      </c>
      <c r="AV22">
        <f t="shared" si="16"/>
        <v>-0.2897403675262763</v>
      </c>
      <c r="AW22" t="str">
        <f t="shared" si="17"/>
        <v/>
      </c>
      <c r="AX22" s="21">
        <f t="shared" si="18"/>
        <v>1.8052084819385673E-2</v>
      </c>
      <c r="AY22">
        <f t="shared" si="19"/>
        <v>-1.5825058243524398E-2</v>
      </c>
      <c r="AZ22">
        <f t="shared" si="20"/>
        <v>6.4459331124777142E-2</v>
      </c>
      <c r="BA22" t="str">
        <f t="shared" si="21"/>
        <v/>
      </c>
      <c r="BB22">
        <f>IF(guodubiaoge!$B22="TE0",[5]guodubiaoge!$AD22,
IF(guodubiaoge!$D22="TE0",[5]guodubiaoge!$AE22,
IF(guodubiaoge!$F22="TE0",[5]guodubiaoge!$AF22,
IF(guodubiaoge!$H22="TE0",[5]guodubiaoge!$AG22,""))))</f>
        <v>-9.6779800243155904E-4</v>
      </c>
      <c r="BC22">
        <f>IF(guodubiaoge!$B22="TE0+HF+6",[5]guodubiaoge!$AD22,
IF(guodubiaoge!$D22="TE0+HF+6",[5]guodubiaoge!$AE22,
IF(guodubiaoge!$F22="TE0+HF+6",[5]guodubiaoge!$AF22,
IF(guodubiaoge!$H22="TE0+HF+6",[5]guodubiaoge!$AG22,""))))</f>
        <v>1.7633600232435001E-3</v>
      </c>
      <c r="BD22">
        <f>IF(guodubiaoge!$B22="TE0+Sim+10",[5]guodubiaoge!$AD22,
IF(guodubiaoge!$D22="TE0+Sim+10",[5]guodubiaoge!$AE22,
IF(guodubiaoge!$F22="TE0+Sim+10",[5]guodubiaoge!$AF22,
IF(guodubiaoge!$H22="TE0+Sim+10",[5]guodubiaoge!$AG22,""))))</f>
        <v>2.2381999163063201E-3</v>
      </c>
      <c r="BE22" t="str">
        <f>IF(guodubiaoge!$B22="TE0+SL+10",[5]guodubiaoge!$AD22,
IF(guodubiaoge!$D22="TE0+SL+10",[5]guodubiaoge!$AE22,
IF(guodubiaoge!$F22="TE0+SL+10",[5]guodubiaoge!$AF22,
IF(guodubiaoge!$H22="TE0+SL+10",[5]guodubiaoge!$AG22,""))))</f>
        <v/>
      </c>
      <c r="BF22">
        <f>IF(guodubiaoge!$B22="TE0",[5]guodubiaoge!$AH22,
IF(guodubiaoge!$D22="TE0",[5]guodubiaoge!$AI22,
IF(guodubiaoge!$F22="TE0",[5]guodubiaoge!$AJ22,
IF(guodubiaoge!$H22="TE0",[5]guodubiaoge!$AK22,""))))</f>
        <v>2.5142309167627198E-2</v>
      </c>
      <c r="BG22">
        <f>IF(guodubiaoge!$B22="TE0+HF+6",[5]guodubiaoge!$AH22,
IF(guodubiaoge!$D22="TE0+HF+6",[5]guodubiaoge!$AI22,
IF(guodubiaoge!$F22="TE0+HF+6",[5]guodubiaoge!$AJ22,
IF(guodubiaoge!$H22="TE0+HF+6",[5]guodubiaoge!$AK22,""))))</f>
        <v>-3.3320310077520197E-2</v>
      </c>
      <c r="BH22">
        <f>IF(guodubiaoge!$B22="TE0+Sim+10",[5]guodubiaoge!$AH22,
IF(guodubiaoge!$D22="TE0+Sim+10",[5]guodubiaoge!$AI22,
IF(guodubiaoge!$F22="TE0+Sim+10",[5]guodubiaoge!$AJ22,
IF(guodubiaoge!$H22="TE0+Sim+10",[5]guodubiaoge!$AK22,""))))</f>
        <v>1.6052631578946E-2</v>
      </c>
      <c r="BI22" t="str">
        <f>IF(guodubiaoge!$B22="TE0+SL+10",[5]guodubiaoge!$AH22,
IF(guodubiaoge!$D22="TE0+SL+10",[5]guodubiaoge!$AI22,
IF(guodubiaoge!$F22="TE0+SL+10",[5]guodubiaoge!$AJ22,
IF(guodubiaoge!$H22="TE0+SL+10",[5]guodubiaoge!$AK22,""))))</f>
        <v/>
      </c>
      <c r="BJ22">
        <f>IF(guodubiaoge!$B22="TE0",[5]guodubiaoge!$AL22,
IF(guodubiaoge!$D22="TE0",[5]guodubiaoge!$AM22,
IF(guodubiaoge!$F22="TE0",[5]guodubiaoge!$AN22,
IF(guodubiaoge!$H22="TE0",[5]guodubiaoge!$AO22,""))))</f>
        <v>-492.54108133460699</v>
      </c>
      <c r="BK22">
        <f>IF(guodubiaoge!$B22="TE0+HF+6",[5]guodubiaoge!$AL22,
IF(guodubiaoge!$D22="TE0+HF+6",[5]guodubiaoge!$AM22,
IF(guodubiaoge!$F22="TE0+HF+6",[5]guodubiaoge!$AN22,
IF(guodubiaoge!$H22="TE0+HF+6",[5]guodubiaoge!$AO22,""))))</f>
        <v>4.3100908353335603</v>
      </c>
      <c r="BL22">
        <f>IF(guodubiaoge!$B22="TE0+Sim+10",[5]guodubiaoge!$AL22,
IF(guodubiaoge!$D22="TE0+Sim+10",[5]guodubiaoge!$AM22,
IF(guodubiaoge!$F22="TE0+Sim+10",[5]guodubiaoge!$AN22,
IF(guodubiaoge!$H22="TE0+Sim+10",[5]guodubiaoge!$AO22,""))))</f>
        <v>-35.582649657675802</v>
      </c>
      <c r="BM22" t="str">
        <f>IF(guodubiaoge!$B22="TE0+SL+10",[5]guodubiaoge!$AL22,
IF(guodubiaoge!$D22="TE0+SL+10",[5]guodubiaoge!$AM22,
IF(guodubiaoge!$F22="TE0+SL+10",[5]guodubiaoge!$AN22,
IF(guodubiaoge!$H22="TE0+SL+10",[5]guodubiaoge!$AO22,""))))</f>
        <v/>
      </c>
      <c r="BN22">
        <f>IF(guodubiaoge!$B22="TE0",[5]guodubiaoge!$AP22,
IF(guodubiaoge!$D22="TE0",[5]guodubiaoge!$AQ22,
IF(guodubiaoge!$F22="TE0",[5]guodubiaoge!$AR22,
IF(guodubiaoge!$H22="TE0",[5]guodubiaoge!$AS22,""))))</f>
        <v>266.010311784311</v>
      </c>
      <c r="BO22">
        <f>IF(guodubiaoge!$B22="TE0+HF+6",[5]guodubiaoge!$AP22,
IF(guodubiaoge!$D22="TE0+HF+6",[5]guodubiaoge!$AQ22,
IF(guodubiaoge!$F22="TE0+HF+6",[5]guodubiaoge!$AR22,
IF(guodubiaoge!$H22="TE0+HF+6",[5]guodubiaoge!$AS22,""))))</f>
        <v>15.0552518046145</v>
      </c>
      <c r="BP22">
        <f>IF(guodubiaoge!$B22="TE0+Sim+10",[5]guodubiaoge!$AP22,
IF(guodubiaoge!$D22="TE0+Sim+10",[5]guodubiaoge!$AQ22,
IF(guodubiaoge!$F22="TE0+Sim+10",[5]guodubiaoge!$AR22,
IF(guodubiaoge!$H22="TE0+Sim+10",[5]guodubiaoge!$AS22,""))))</f>
        <v>-3.0104943911220801</v>
      </c>
      <c r="BQ22" t="str">
        <f>IF(guodubiaoge!$B22="TE0+SL+10",[5]guodubiaoge!$AP22,
IF(guodubiaoge!$D22="TE0+SL+10",[5]guodubiaoge!$AQ22,
IF(guodubiaoge!$F22="TE0+SL+10",[5]guodubiaoge!$AR22,
IF(guodubiaoge!$H22="TE0+SL+10",[5]guodubiaoge!$AS22,""))))</f>
        <v/>
      </c>
      <c r="BR22">
        <f t="shared" si="22"/>
        <v>0.11861351025922515</v>
      </c>
      <c r="BS22" s="26">
        <f t="shared" si="23"/>
        <v>0.34202443543002786</v>
      </c>
      <c r="BT22" s="26">
        <f t="shared" si="24"/>
        <v>-0.29375448973211543</v>
      </c>
      <c r="BU22" s="26" t="str">
        <f t="shared" si="25"/>
        <v/>
      </c>
      <c r="BV22" s="26">
        <f t="shared" si="26"/>
        <v>0.42994295325296672</v>
      </c>
      <c r="BW22">
        <f t="shared" si="27"/>
        <v>-0.5695432630939623</v>
      </c>
      <c r="BX22">
        <f t="shared" si="28"/>
        <v>0.55047870145649869</v>
      </c>
      <c r="BY22" t="str">
        <f t="shared" si="29"/>
        <v/>
      </c>
      <c r="BZ22">
        <f t="shared" si="30"/>
        <v>-2.2055379064826979</v>
      </c>
      <c r="CA22">
        <f t="shared" si="31"/>
        <v>-6.9157111208509189E-2</v>
      </c>
      <c r="CB22">
        <f t="shared" si="32"/>
        <v>1.1322612209052346E-2</v>
      </c>
      <c r="CC22" t="str">
        <f t="shared" si="33"/>
        <v/>
      </c>
      <c r="CD22">
        <f t="shared" si="34"/>
        <v>1.7601422178691675</v>
      </c>
      <c r="CE22">
        <f t="shared" si="35"/>
        <v>-5.0945865188669198E-2</v>
      </c>
      <c r="CF22">
        <f t="shared" si="36"/>
        <v>0.12930800549663693</v>
      </c>
      <c r="CG22" t="str">
        <f t="shared" si="37"/>
        <v/>
      </c>
      <c r="CH22">
        <f t="shared" si="38"/>
        <v>0.54855646351219189</v>
      </c>
      <c r="CI22">
        <f t="shared" si="39"/>
        <v>-0.22751882766393444</v>
      </c>
      <c r="CJ22">
        <f t="shared" si="40"/>
        <v>0.25672421172438326</v>
      </c>
      <c r="CK22" t="str">
        <f t="shared" si="41"/>
        <v/>
      </c>
      <c r="CL22">
        <f t="shared" si="42"/>
        <v>-3.940696337624578</v>
      </c>
      <c r="CM22">
        <f t="shared" si="43"/>
        <v>-1.308054103048828E-2</v>
      </c>
      <c r="CN22">
        <f t="shared" si="44"/>
        <v>-0.12738273516677051</v>
      </c>
      <c r="CO22" t="str">
        <f t="shared" si="45"/>
        <v/>
      </c>
      <c r="CP22">
        <f>IF(AA22="","",(AA22-AVERAGE($AA$2:AA$26))/_xlfn.STDEV.S($AA$2:$AA$26))</f>
        <v>-1.7351584311418804</v>
      </c>
      <c r="CQ22">
        <f>IF(L22="","",(L22-AVERAGE($L$2:L$26))/_xlfn.STDEV.S($L$2:$L$26))</f>
        <v>1.7991511131796587</v>
      </c>
      <c r="CR22">
        <f t="shared" si="46"/>
        <v>3.5592933310488259</v>
      </c>
      <c r="CS22">
        <f>IF(B22="","",(B22-AVERAGE($B$2:B$26))/_xlfn.STDEV.S($B$2:$B$26))</f>
        <v>0.10138676356659591</v>
      </c>
      <c r="CT22">
        <f>IF(G22="","",(G22-AVERAGE($G$2:G$26))/_xlfn.STDEV.S($G$2:$G$26))</f>
        <v>2.0336816357125538</v>
      </c>
      <c r="CU22">
        <f t="shared" si="47"/>
        <v>2.1350683992791497</v>
      </c>
    </row>
    <row r="23" spans="1:99">
      <c r="A23">
        <v>22</v>
      </c>
      <c r="B23" s="21">
        <f>IF(guodubiaoge!$B23="Te0",[5]guodubiaoge!$C23,
IF(guodubiaoge!$D23="Te0",[5]guodubiaoge!$E23,
IF(guodubiaoge!$F23="Te0",[5]guodubiaoge!$G23,
IF(guodubiaoge!$H23="Te0",[5]guodubiaoge!$I23,""))))</f>
        <v>2.0282119439466E-3</v>
      </c>
      <c r="C23">
        <f>IF(guodubiaoge!$B23="Te0+HF+6",[5]guodubiaoge!$C23,
IF(guodubiaoge!$D23="Te0+HF+6",[5]guodubiaoge!$E23,
IF(guodubiaoge!$F23="Te0+HF+6",[5]guodubiaoge!$G23,
IF(guodubiaoge!$H23="Te0+HF+6",[5]guodubiaoge!$I23,""))))</f>
        <v>2.5211443676034198E-3</v>
      </c>
      <c r="D23" t="str">
        <f>IF(guodubiaoge!$B23="Te0+Sim+10",[5]guodubiaoge!$C23,
IF(guodubiaoge!$D23="Te0+Sim+10",[5]guodubiaoge!$E23,
IF(guodubiaoge!$F23="Te0+Sim+10",[5]guodubiaoge!$G23,
IF(guodubiaoge!$H23="Te0+Sim+10",[5]guodubiaoge!$I23,""))))</f>
        <v/>
      </c>
      <c r="E23">
        <f>IF(guodubiaoge!$B23="Te0+SL+10",[5]guodubiaoge!$C23,
IF(guodubiaoge!$D23="Te0+SL+10",[5]guodubiaoge!$E23,
IF(guodubiaoge!$F23="Te0+SL+10",[5]guodubiaoge!$G23,
IF(guodubiaoge!$H23="Te0+SL+10",[5]guodubiaoge!$I23,""))))</f>
        <v>1.2171544440456299E-3</v>
      </c>
      <c r="F23">
        <f>IF(guodubiaoge!$B23="Te0-10",[5]guodubiaoge!$C23,
IF(guodubiaoge!$D23="Te0-10",[5]guodubiaoge!$E23,
IF(guodubiaoge!$F23="Te0-10",[5]guodubiaoge!$G23,
IF(guodubiaoge!$H23="Te0-10",[5]guodubiaoge!$I23,""))))</f>
        <v>2.3585963601444799E-3</v>
      </c>
      <c r="G23">
        <f>IF(guodubiaoge!$B23="Te0",[5]guodubiaoge!$J23,
IF(guodubiaoge!$D23="Te0",[5]guodubiaoge!$K23,
IF(guodubiaoge!$F23="Te0",[5]guodubiaoge!$L23,
IF(guodubiaoge!$H23="Te0",[5]guodubiaoge!$M23,""))))</f>
        <v>8.6540978189027604E-2</v>
      </c>
      <c r="H23">
        <f>IF(guodubiaoge!$B23="Te0+HF+6",[5]guodubiaoge!$J23,
IF(guodubiaoge!$D23="Te0+HF+6",[5]guodubiaoge!$K23,
IF(guodubiaoge!$F23="Te0+HF+6",[5]guodubiaoge!$L23,
IF(guodubiaoge!$H23="Te0+HF+6",[5]guodubiaoge!$M23,""))))</f>
        <v>-1.27984665936482E-2</v>
      </c>
      <c r="I23" t="str">
        <f>IF(guodubiaoge!$B23="Te0+Sim+10",[5]guodubiaoge!$J23,
IF(guodubiaoge!$D23="Te0+Sim+10",[5]guodubiaoge!$K23,
IF(guodubiaoge!$F23="Te0+Sim+10",[5]guodubiaoge!$L23,
IF(guodubiaoge!$H23="Te0+Sim+10",[5]guodubiaoge!$M23,""))))</f>
        <v/>
      </c>
      <c r="J23">
        <f>IF(guodubiaoge!$B23="Te0+SL+10",[5]guodubiaoge!$J23,
IF(guodubiaoge!$D23="Te0+SL+10",[5]guodubiaoge!$K23,
IF(guodubiaoge!$F23="Te0+SL+10",[5]guodubiaoge!$L23,
IF(guodubiaoge!$H23="Te0+SL+10",[5]guodubiaoge!$M23,""))))</f>
        <v>7.3860386879731094E-2</v>
      </c>
      <c r="K23">
        <f>IF(guodubiaoge!$B23="Te0-10",[5]guodubiaoge!$J23,
IF(guodubiaoge!$D23="Te0-10",[5]guodubiaoge!$K23,
IF(guodubiaoge!$F23="Te0-10",[5]guodubiaoge!$L23,
IF(guodubiaoge!$H23="Te0-10",[5]guodubiaoge!$M23,""))))</f>
        <v>3.7713077620053603E-2</v>
      </c>
      <c r="L23">
        <f>IF(guodubiaoge!$B23="Te0",[5]guodubiaoge!$N23,
IF(guodubiaoge!$D23="Te0",[5]guodubiaoge!$O23,
IF(guodubiaoge!$F23="Te0",[5]guodubiaoge!$P23,
IF(guodubiaoge!$H23="Te0",[5]guodubiaoge!$Q23,""))))</f>
        <v>-9.5157248986738505</v>
      </c>
      <c r="M23">
        <f>IF(guodubiaoge!$B23="Te0+HF+6",[5]guodubiaoge!$N23,
IF(guodubiaoge!$D23="Te0+HF+6",[5]guodubiaoge!$O23,
IF(guodubiaoge!$F23="Te0+HF+6",[5]guodubiaoge!$P23,
IF(guodubiaoge!$H23="Te0+HF+6",[5]guodubiaoge!$Q23,""))))</f>
        <v>-240.26950669079201</v>
      </c>
      <c r="N23" t="str">
        <f>IF(guodubiaoge!$B23="Te0+Sim+10",[5]guodubiaoge!$N23,
IF(guodubiaoge!$D23="Te0+Sim+10",[5]guodubiaoge!$O23,
IF(guodubiaoge!$F23="Te0+Sim+10",[5]guodubiaoge!$P23,
IF(guodubiaoge!$H23="Te0+Sim+10",[5]guodubiaoge!$Q23,""))))</f>
        <v/>
      </c>
      <c r="O23">
        <f>IF(guodubiaoge!$B23="Te0+SL+10",[5]guodubiaoge!$N23,
IF(guodubiaoge!$D23="Te0+SL+10",[5]guodubiaoge!$O23,
IF(guodubiaoge!$F23="Te0+SL+10",[5]guodubiaoge!$P23,
IF(guodubiaoge!$H23="Te0+SL+10",[5]guodubiaoge!$Q23,""))))</f>
        <v>408.41248965216499</v>
      </c>
      <c r="P23">
        <f>IF(guodubiaoge!$B23="Te0-10",[5]guodubiaoge!$N23,
IF(guodubiaoge!$D23="Te0-10",[5]guodubiaoge!$O23,
IF(guodubiaoge!$F23="Te0-10",[5]guodubiaoge!$P23,
IF(guodubiaoge!$H23="Te0-10",[5]guodubiaoge!$Q23,""))))</f>
        <v>1.5863407608761499</v>
      </c>
      <c r="Q23">
        <f>IF(guodubiaoge!$B23="Te0",[5]guodubiaoge!$R23,
IF(guodubiaoge!$D23="Te0",[5]guodubiaoge!$S23,
IF(guodubiaoge!$F23="Te0",[5]guodubiaoge!$T23,
IF(guodubiaoge!$H23="Te0",[5]guodubiaoge!$U23,""))))</f>
        <v>7</v>
      </c>
      <c r="R23">
        <f>IF(guodubiaoge!$B23="Te0+HF+6",[5]guodubiaoge!$R23,
IF(guodubiaoge!$D23="Te0+HF+6",[5]guodubiaoge!$S23,
IF(guodubiaoge!$F23="Te0+HF+6",[5]guodubiaoge!$T23,
IF(guodubiaoge!$H23="Te0+HF+6",[5]guodubiaoge!$U23,""))))</f>
        <v>7</v>
      </c>
      <c r="S23" t="str">
        <f>IF(guodubiaoge!$B23="Te0+Sim+10",[5]guodubiaoge!$R23,
IF(guodubiaoge!$D23="Te0+Sim+10",[5]guodubiaoge!$S23,
IF(guodubiaoge!$F23="Te0+Sim+10",[5]guodubiaoge!$T23,
IF(guodubiaoge!$H23="Te0+Sim+10",[5]guodubiaoge!$U23,""))))</f>
        <v/>
      </c>
      <c r="T23">
        <f>IF(guodubiaoge!$B23="Te0+SL+10",[5]guodubiaoge!$R23,
IF(guodubiaoge!$D23="Te0+SL+10",[5]guodubiaoge!$S23,
IF(guodubiaoge!$F23="Te0+SL+10",[5]guodubiaoge!$T23,
IF(guodubiaoge!$H23="Te0+SL+10",[5]guodubiaoge!$U23,""))))</f>
        <v>4</v>
      </c>
      <c r="U23">
        <f>IF(guodubiaoge!$B23="Te0-10",[5]guodubiaoge!$R23,
IF(guodubiaoge!$D23="Te0-10",[5]guodubiaoge!$S23,
IF(guodubiaoge!$F23="Te0-10",[5]guodubiaoge!$T23,
IF(guodubiaoge!$H23="Te0-10",[5]guodubiaoge!$U23,""))))</f>
        <v>6</v>
      </c>
      <c r="V23">
        <f>IF(guodubiaoge!$B23="Te0",[5]guodubiaoge!$V23,
IF(guodubiaoge!$D23="Te0",[5]guodubiaoge!$W23,
IF(guodubiaoge!$F23="Te0",[5]guodubiaoge!$X23,
IF(guodubiaoge!$H23="Te0",[5]guodubiaoge!$Y23,""))))</f>
        <v>8</v>
      </c>
      <c r="W23">
        <f>IF(guodubiaoge!$B23="Te0+HF+6",[5]guodubiaoge!$V23,
IF(guodubiaoge!$D23="Te0+HF+6",[5]guodubiaoge!$W23,
IF(guodubiaoge!$F23="Te0+HF+6",[5]guodubiaoge!$X23,
IF(guodubiaoge!$H23="Te0+HF+6",[5]guodubiaoge!$Y23,""))))</f>
        <v>8</v>
      </c>
      <c r="X23" t="str">
        <f>IF(guodubiaoge!$B23="Te0+Sim+10",[5]guodubiaoge!$V23,
IF(guodubiaoge!$D23="Te0+Sim+10",[5]guodubiaoge!$W23,
IF(guodubiaoge!$F23="Te0+Sim+10",[5]guodubiaoge!$X23,
IF(guodubiaoge!$H23="Te0+Sim+10",[5]guodubiaoge!$Y23,""))))</f>
        <v/>
      </c>
      <c r="Y23">
        <f>IF(guodubiaoge!$B23="Te0+SL+10",[5]guodubiaoge!$U23,
IF(guodubiaoge!$D23="Te0+SL+10",[5]guodubiaoge!$W23,
IF(guodubiaoge!$F23="Te0+SL+10",[5]guodubiaoge!$X23,
IF(guodubiaoge!$H23="Te0+SL+10",[5]guodubiaoge!$Y23,""))))</f>
        <v>6</v>
      </c>
      <c r="Z23">
        <f>IF(guodubiaoge!$B23="Te0-10",[5]guodubiaoge!$U23,
IF(guodubiaoge!$D23="Te0-10",[5]guodubiaoge!$W23,
IF(guodubiaoge!$F23="Te0-10",[5]guodubiaoge!$X23,
IF(guodubiaoge!$H23="Te0-10",[5]guodubiaoge!$Y23,""))))</f>
        <v>8</v>
      </c>
      <c r="AA23">
        <f>IF(guodubiaoge!$B23="Te0",[5]guodubiaoge!$Z23,
IF(guodubiaoge!$D23="Te0",[5]guodubiaoge!$AA23,
IF(guodubiaoge!$F23="Te0",[5]guodubiaoge!$AB23,
IF(guodubiaoge!$H23="Te0",[5]guodubiaoge!$AC23,""))))</f>
        <v>-42.041832178580897</v>
      </c>
      <c r="AB23">
        <f>IF(guodubiaoge!$B23="Te0+HF+6",[5]guodubiaoge!$Z23,
IF(guodubiaoge!$D23="Te0+HF+6",[5]guodubiaoge!$AA23,
IF(guodubiaoge!$F23="Te0+HF+6",[5]guodubiaoge!$AB23,
IF(guodubiaoge!$H23="Te0+HF+6",[5]guodubiaoge!$AC23,""))))</f>
        <v>-191.12918501399</v>
      </c>
      <c r="AC23" t="str">
        <f>IF(guodubiaoge!$B23="Te0+Sim+10",[5]guodubiaoge!$Z23,
IF(guodubiaoge!$D23="Te0+Sim+10",[5]guodubiaoge!$AA23,
IF(guodubiaoge!$F23="Te0+Sim+10",[5]guodubiaoge!$AB23,
IF(guodubiaoge!$H23="Te0+Sim+10",[5]guodubiaoge!$AC23,""))))</f>
        <v/>
      </c>
      <c r="AD23">
        <f>IF(guodubiaoge!$B23="Te0+SL+10",[5]guodubiaoge!$Z23,
IF(guodubiaoge!$D23="Te0+SL+10",[5]guodubiaoge!$AA23,
IF(guodubiaoge!$F23="Te0+SL+10",[5]guodubiaoge!$AB23,
IF(guodubiaoge!$H23="Te0+SL+10",[5]guodubiaoge!$AC23,""))))</f>
        <v>-45.883022206642501</v>
      </c>
      <c r="AE23">
        <f>IF(guodubiaoge!$B23="Te0-10",[5]guodubiaoge!$Z23,
IF(guodubiaoge!$D23="Te0-10",[5]guodubiaoge!$AA23,
IF(guodubiaoge!$F23="Te0-10",[5]guodubiaoge!$AB23,
IF(guodubiaoge!$H23="Te0-10",[5]guodubiaoge!$AC23,""))))</f>
        <v>-14.7440908199827</v>
      </c>
      <c r="AF23">
        <f t="shared" si="0"/>
        <v>0.51197285589460084</v>
      </c>
      <c r="AG23" t="str">
        <f t="shared" si="1"/>
        <v/>
      </c>
      <c r="AH23">
        <f t="shared" si="2"/>
        <v>0.58396757185962767</v>
      </c>
      <c r="AI23">
        <f t="shared" si="3"/>
        <v>7.7796752333241487E-2</v>
      </c>
      <c r="AJ23" t="str">
        <f t="shared" si="4"/>
        <v/>
      </c>
      <c r="AK23">
        <f t="shared" si="5"/>
        <v>0.76164663355350015</v>
      </c>
      <c r="AL23">
        <f t="shared" si="6"/>
        <v>0.5897696082278423</v>
      </c>
      <c r="AM23" t="str">
        <f t="shared" si="7"/>
        <v/>
      </c>
      <c r="AN23">
        <f t="shared" si="8"/>
        <v>1.3456142054131277</v>
      </c>
      <c r="AO23">
        <f t="shared" si="9"/>
        <v>-1.0256190464990997</v>
      </c>
      <c r="AP23" t="str">
        <f t="shared" si="10"/>
        <v/>
      </c>
      <c r="AQ23">
        <f t="shared" si="11"/>
        <v>1.4639100153303137</v>
      </c>
      <c r="AR23">
        <f t="shared" si="12"/>
        <v>-1.242444019482293</v>
      </c>
      <c r="AS23" t="str">
        <f t="shared" si="13"/>
        <v/>
      </c>
      <c r="AT23">
        <f t="shared" si="14"/>
        <v>-0.18483922914040762</v>
      </c>
      <c r="AU23">
        <f t="shared" si="15"/>
        <v>-2.2151829823313269</v>
      </c>
      <c r="AV23" t="str">
        <f t="shared" si="16"/>
        <v/>
      </c>
      <c r="AW23">
        <f t="shared" si="17"/>
        <v>2.6798607240303989</v>
      </c>
      <c r="AX23" s="21">
        <f t="shared" si="18"/>
        <v>2.3436434234848456E-2</v>
      </c>
      <c r="AY23">
        <f t="shared" si="19"/>
        <v>-0.19698800236386507</v>
      </c>
      <c r="AZ23" t="str">
        <f t="shared" si="20"/>
        <v/>
      </c>
      <c r="BA23">
        <f t="shared" si="21"/>
        <v>1.6479123593375649E-2</v>
      </c>
      <c r="BB23">
        <f>IF(guodubiaoge!$B23="TE0",[5]guodubiaoge!$AD23,
IF(guodubiaoge!$D23="TE0",[5]guodubiaoge!$AE23,
IF(guodubiaoge!$F23="TE0",[5]guodubiaoge!$AF23,
IF(guodubiaoge!$H23="TE0",[5]guodubiaoge!$AG23,""))))</f>
        <v>3.4029738051790399E-3</v>
      </c>
      <c r="BC23">
        <f>IF(guodubiaoge!$B23="TE0+HF+6",[5]guodubiaoge!$AD23,
IF(guodubiaoge!$D23="TE0+HF+6",[5]guodubiaoge!$AE23,
IF(guodubiaoge!$F23="TE0+HF+6",[5]guodubiaoge!$AF23,
IF(guodubiaoge!$H23="TE0+HF+6",[5]guodubiaoge!$AG23,""))))</f>
        <v>7.2886373138949696E-3</v>
      </c>
      <c r="BD23" t="str">
        <f>IF(guodubiaoge!$B23="TE0+Sim+10",[5]guodubiaoge!$AD23,
IF(guodubiaoge!$D23="TE0+Sim+10",[5]guodubiaoge!$AE23,
IF(guodubiaoge!$F23="TE0+Sim+10",[5]guodubiaoge!$AF23,
IF(guodubiaoge!$H23="TE0+Sim+10",[5]guodubiaoge!$AG23,""))))</f>
        <v/>
      </c>
      <c r="BE23">
        <f>IF(guodubiaoge!$B23="TE0+SL+10",[5]guodubiaoge!$AD23,
IF(guodubiaoge!$D23="TE0+SL+10",[5]guodubiaoge!$AE23,
IF(guodubiaoge!$F23="TE0+SL+10",[5]guodubiaoge!$AF23,
IF(guodubiaoge!$H23="TE0+SL+10",[5]guodubiaoge!$AG23,""))))</f>
        <v>1.89519703328849E-3</v>
      </c>
      <c r="BF23">
        <f>IF(guodubiaoge!$B23="TE0",[5]guodubiaoge!$AH23,
IF(guodubiaoge!$D23="TE0",[5]guodubiaoge!$AI23,
IF(guodubiaoge!$F23="TE0",[5]guodubiaoge!$AJ23,
IF(guodubiaoge!$H23="TE0",[5]guodubiaoge!$AK23,""))))</f>
        <v>9.6375091575076101E-3</v>
      </c>
      <c r="BG23">
        <f>IF(guodubiaoge!$B23="TE0+HF+6",[5]guodubiaoge!$AH23,
IF(guodubiaoge!$D23="TE0+HF+6",[5]guodubiaoge!$AI23,
IF(guodubiaoge!$F23="TE0+HF+6",[5]guodubiaoge!$AJ23,
IF(guodubiaoge!$H23="TE0+HF+6",[5]guodubiaoge!$AK23,""))))</f>
        <v>-3.0372919334187301E-2</v>
      </c>
      <c r="BH23" t="str">
        <f>IF(guodubiaoge!$B23="TE0+Sim+10",[5]guodubiaoge!$AH23,
IF(guodubiaoge!$D23="TE0+Sim+10",[5]guodubiaoge!$AI23,
IF(guodubiaoge!$F23="TE0+Sim+10",[5]guodubiaoge!$AJ23,
IF(guodubiaoge!$H23="TE0+Sim+10",[5]guodubiaoge!$AK23,""))))</f>
        <v/>
      </c>
      <c r="BI23">
        <f>IF(guodubiaoge!$B23="TE0+SL+10",[5]guodubiaoge!$AH23,
IF(guodubiaoge!$D23="TE0+SL+10",[5]guodubiaoge!$AI23,
IF(guodubiaoge!$F23="TE0+SL+10",[5]guodubiaoge!$AJ23,
IF(guodubiaoge!$H23="TE0+SL+10",[5]guodubiaoge!$AK23,""))))</f>
        <v>-3.1385399892646999E-2</v>
      </c>
      <c r="BJ23">
        <f>IF(guodubiaoge!$B23="TE0",[5]guodubiaoge!$AL23,
IF(guodubiaoge!$D23="TE0",[5]guodubiaoge!$AM23,
IF(guodubiaoge!$F23="TE0",[5]guodubiaoge!$AN23,
IF(guodubiaoge!$H23="TE0",[5]guodubiaoge!$AO23,""))))</f>
        <v>-58.1489584549361</v>
      </c>
      <c r="BK23">
        <f>IF(guodubiaoge!$B23="TE0+HF+6",[5]guodubiaoge!$AL23,
IF(guodubiaoge!$D23="TE0+HF+6",[5]guodubiaoge!$AM23,
IF(guodubiaoge!$F23="TE0+HF+6",[5]guodubiaoge!$AN23,
IF(guodubiaoge!$H23="TE0+HF+6",[5]guodubiaoge!$AO23,""))))</f>
        <v>-350.57201156697801</v>
      </c>
      <c r="BL23" t="str">
        <f>IF(guodubiaoge!$B23="TE0+Sim+10",[5]guodubiaoge!$AL23,
IF(guodubiaoge!$D23="TE0+Sim+10",[5]guodubiaoge!$AM23,
IF(guodubiaoge!$F23="TE0+Sim+10",[5]guodubiaoge!$AN23,
IF(guodubiaoge!$H23="TE0+Sim+10",[5]guodubiaoge!$AO23,""))))</f>
        <v/>
      </c>
      <c r="BM23">
        <f>IF(guodubiaoge!$B23="TE0+SL+10",[5]guodubiaoge!$AL23,
IF(guodubiaoge!$D23="TE0+SL+10",[5]guodubiaoge!$AM23,
IF(guodubiaoge!$F23="TE0+SL+10",[5]guodubiaoge!$AN23,
IF(guodubiaoge!$H23="TE0+SL+10",[5]guodubiaoge!$AO23,""))))</f>
        <v>-66.840815789216606</v>
      </c>
      <c r="BN23">
        <f>IF(guodubiaoge!$B23="TE0",[5]guodubiaoge!$AP23,
IF(guodubiaoge!$D23="TE0",[5]guodubiaoge!$AQ23,
IF(guodubiaoge!$F23="TE0",[5]guodubiaoge!$AR23,
IF(guodubiaoge!$H23="TE0",[5]guodubiaoge!$AS23,""))))</f>
        <v>-16.659807781222</v>
      </c>
      <c r="BO23">
        <f>IF(guodubiaoge!$B23="TE0+HF+6",[5]guodubiaoge!$AP23,
IF(guodubiaoge!$D23="TE0+HF+6",[5]guodubiaoge!$AQ23,
IF(guodubiaoge!$F23="TE0+HF+6",[5]guodubiaoge!$AR23,
IF(guodubiaoge!$H23="TE0+HF+6",[5]guodubiaoge!$AS23,""))))</f>
        <v>-196.234985567172</v>
      </c>
      <c r="BP23" t="str">
        <f>IF(guodubiaoge!$B23="TE0+Sim+10",[5]guodubiaoge!$AP23,
IF(guodubiaoge!$D23="TE0+Sim+10",[5]guodubiaoge!$AQ23,
IF(guodubiaoge!$F23="TE0+Sim+10",[5]guodubiaoge!$AR23,
IF(guodubiaoge!$H23="TE0+Sim+10",[5]guodubiaoge!$AS23,""))))</f>
        <v/>
      </c>
      <c r="BQ23">
        <f>IF(guodubiaoge!$B23="TE0+SL+10",[5]guodubiaoge!$AP23,
IF(guodubiaoge!$D23="TE0+SL+10",[5]guodubiaoge!$AQ23,
IF(guodubiaoge!$F23="TE0+SL+10",[5]guodubiaoge!$AR23,
IF(guodubiaoge!$H23="TE0+SL+10",[5]guodubiaoge!$AS23,""))))</f>
        <v>246.56557100413201</v>
      </c>
      <c r="BR23">
        <f t="shared" si="22"/>
        <v>0.95708848371134692</v>
      </c>
      <c r="BS23" s="26">
        <f t="shared" si="23"/>
        <v>0.95987784670064236</v>
      </c>
      <c r="BT23" s="26" t="str">
        <f t="shared" si="24"/>
        <v/>
      </c>
      <c r="BU23" s="26">
        <f t="shared" si="25"/>
        <v>0.13728304674735173</v>
      </c>
      <c r="BV23" s="26">
        <f t="shared" si="26"/>
        <v>0.29187176138654203</v>
      </c>
      <c r="BW23">
        <f t="shared" si="27"/>
        <v>-0.51649518255824578</v>
      </c>
      <c r="BX23" t="str">
        <f t="shared" si="28"/>
        <v/>
      </c>
      <c r="BY23">
        <f t="shared" si="29"/>
        <v>-0.87619273357142546</v>
      </c>
      <c r="BZ23">
        <f t="shared" si="30"/>
        <v>-5.2569294745290478E-2</v>
      </c>
      <c r="CA23">
        <f t="shared" si="31"/>
        <v>-1.4932978537958128</v>
      </c>
      <c r="CB23" t="str">
        <f t="shared" si="32"/>
        <v/>
      </c>
      <c r="CC23">
        <f t="shared" si="33"/>
        <v>-0.271470297099146</v>
      </c>
      <c r="CD23">
        <f t="shared" si="34"/>
        <v>-4.6498893867761945E-2</v>
      </c>
      <c r="CE23">
        <f t="shared" si="35"/>
        <v>-1.1895639358322274</v>
      </c>
      <c r="CF23" t="str">
        <f t="shared" si="36"/>
        <v/>
      </c>
      <c r="CG23">
        <f t="shared" si="37"/>
        <v>1.2159507087000849</v>
      </c>
      <c r="CH23">
        <f t="shared" si="38"/>
        <v>1.2489602450978889</v>
      </c>
      <c r="CI23">
        <f t="shared" si="39"/>
        <v>0.44338266414239658</v>
      </c>
      <c r="CJ23" t="str">
        <f t="shared" si="40"/>
        <v/>
      </c>
      <c r="CK23">
        <f t="shared" si="41"/>
        <v>-0.73890968682407376</v>
      </c>
      <c r="CL23">
        <f t="shared" si="42"/>
        <v>-0.18071665628446767</v>
      </c>
      <c r="CM23">
        <f t="shared" si="43"/>
        <v>-2.7357418732781058</v>
      </c>
      <c r="CN23" t="str">
        <f t="shared" si="44"/>
        <v/>
      </c>
      <c r="CO23">
        <f t="shared" si="45"/>
        <v>-0.45630952623955362</v>
      </c>
      <c r="CP23">
        <f>IF(AA23="","",(AA23-AVERAGE($AA$2:AA$26))/_xlfn.STDEV.S($AA$2:$AA$26))</f>
        <v>-0.12814736153917719</v>
      </c>
      <c r="CQ23">
        <f>IF(L23="","",(L23-AVERAGE($L$2:L$26))/_xlfn.STDEV.S($L$2:$L$26))</f>
        <v>0.13920911052519122</v>
      </c>
      <c r="CR23">
        <f t="shared" si="46"/>
        <v>9.2710216657429276E-2</v>
      </c>
      <c r="CS23">
        <f>IF(B23="","",(B23-AVERAGE($B$2:B$26))/_xlfn.STDEV.S($B$2:$B$26))</f>
        <v>3.6029300472846942E-2</v>
      </c>
      <c r="CT23">
        <f>IF(G23="","",(G23-AVERAGE($G$2:G$26))/_xlfn.STDEV.S($G$2:$G$26))</f>
        <v>0.91146729712853047</v>
      </c>
      <c r="CU23">
        <f t="shared" si="47"/>
        <v>0.94749659760137739</v>
      </c>
    </row>
    <row r="24" spans="1:99">
      <c r="A24">
        <v>23</v>
      </c>
      <c r="B24" s="21">
        <f>IF(guodubiaoge!$B24="Te0",[5]guodubiaoge!$C24,
IF(guodubiaoge!$D24="Te0",[5]guodubiaoge!$E24,
IF(guodubiaoge!$F24="Te0",[5]guodubiaoge!$G24,
IF(guodubiaoge!$H24="Te0",[5]guodubiaoge!$I24,""))))</f>
        <v>2.120426341299E-4</v>
      </c>
      <c r="C24">
        <f>IF(guodubiaoge!$B24="Te0+HF+6",[5]guodubiaoge!$C24,
IF(guodubiaoge!$D24="Te0+HF+6",[5]guodubiaoge!$E24,
IF(guodubiaoge!$F24="Te0+HF+6",[5]guodubiaoge!$G24,
IF(guodubiaoge!$H24="Te0+HF+6",[5]guodubiaoge!$I24,""))))</f>
        <v>2.7236696391600898E-4</v>
      </c>
      <c r="D24">
        <f>IF(guodubiaoge!$B24="Te0+Sim+10",[5]guodubiaoge!$C24,
IF(guodubiaoge!$D24="Te0+Sim+10",[5]guodubiaoge!$E24,
IF(guodubiaoge!$F24="Te0+Sim+10",[5]guodubiaoge!$G24,
IF(guodubiaoge!$H24="Te0+Sim+10",[5]guodubiaoge!$I24,""))))</f>
        <v>-2.6433263407079698E-2</v>
      </c>
      <c r="E24" t="str">
        <f>IF(guodubiaoge!$B24="Te0+SL+10",[5]guodubiaoge!$C24,
IF(guodubiaoge!$D24="Te0+SL+10",[5]guodubiaoge!$E24,
IF(guodubiaoge!$F24="Te0+SL+10",[5]guodubiaoge!$G24,
IF(guodubiaoge!$H24="Te0+SL+10",[5]guodubiaoge!$I24,""))))</f>
        <v/>
      </c>
      <c r="F24">
        <f>IF(guodubiaoge!$B24="Te0-10",[5]guodubiaoge!$C24,
IF(guodubiaoge!$D24="Te0-10",[5]guodubiaoge!$E24,
IF(guodubiaoge!$F24="Te0-10",[5]guodubiaoge!$G24,
IF(guodubiaoge!$H24="Te0-10",[5]guodubiaoge!$I24,""))))</f>
        <v>1.51971738947418E-3</v>
      </c>
      <c r="G24">
        <f>IF(guodubiaoge!$B24="Te0",[5]guodubiaoge!$J24,
IF(guodubiaoge!$D24="Te0",[5]guodubiaoge!$K24,
IF(guodubiaoge!$F24="Te0",[5]guodubiaoge!$L24,
IF(guodubiaoge!$H24="Te0",[5]guodubiaoge!$M24,""))))</f>
        <v>-8.5231264367817305E-2</v>
      </c>
      <c r="H24">
        <f>IF(guodubiaoge!$B24="Te0+HF+6",[5]guodubiaoge!$J24,
IF(guodubiaoge!$D24="Te0+HF+6",[5]guodubiaoge!$K24,
IF(guodubiaoge!$F24="Te0+HF+6",[5]guodubiaoge!$L24,
IF(guodubiaoge!$H24="Te0+HF+6",[5]guodubiaoge!$M24,""))))</f>
        <v>-1.21237693389636E-3</v>
      </c>
      <c r="I24">
        <f>IF(guodubiaoge!$B24="Te0+Sim+10",[5]guodubiaoge!$J24,
IF(guodubiaoge!$D24="Te0+Sim+10",[5]guodubiaoge!$K24,
IF(guodubiaoge!$F24="Te0+Sim+10",[5]guodubiaoge!$L24,
IF(guodubiaoge!$H24="Te0+Sim+10",[5]guodubiaoge!$M24,""))))</f>
        <v>-0.51999999999999902</v>
      </c>
      <c r="J24" t="str">
        <f>IF(guodubiaoge!$B24="Te0+SL+10",[5]guodubiaoge!$J24,
IF(guodubiaoge!$D24="Te0+SL+10",[5]guodubiaoge!$K24,
IF(guodubiaoge!$F24="Te0+SL+10",[5]guodubiaoge!$L24,
IF(guodubiaoge!$H24="Te0+SL+10",[5]guodubiaoge!$M24,""))))</f>
        <v/>
      </c>
      <c r="K24">
        <f>IF(guodubiaoge!$B24="Te0-10",[5]guodubiaoge!$J24,
IF(guodubiaoge!$D24="Te0-10",[5]guodubiaoge!$K24,
IF(guodubiaoge!$F24="Te0-10",[5]guodubiaoge!$L24,
IF(guodubiaoge!$H24="Te0-10",[5]guodubiaoge!$M24,""))))</f>
        <v>8.8651321398117693E-3</v>
      </c>
      <c r="L24">
        <f>IF(guodubiaoge!$B24="Te0",[5]guodubiaoge!$N24,
IF(guodubiaoge!$D24="Te0",[5]guodubiaoge!$O24,
IF(guodubiaoge!$F24="Te0",[5]guodubiaoge!$P24,
IF(guodubiaoge!$H24="Te0",[5]guodubiaoge!$Q24,""))))</f>
        <v>-3.24824162159485</v>
      </c>
      <c r="M24">
        <f>IF(guodubiaoge!$B24="Te0+HF+6",[5]guodubiaoge!$N24,
IF(guodubiaoge!$D24="Te0+HF+6",[5]guodubiaoge!$O24,
IF(guodubiaoge!$F24="Te0+HF+6",[5]guodubiaoge!$P24,
IF(guodubiaoge!$H24="Te0+HF+6",[5]guodubiaoge!$Q24,""))))</f>
        <v>-3.1565775744537401</v>
      </c>
      <c r="N24">
        <f>IF(guodubiaoge!$B24="Te0+Sim+10",[5]guodubiaoge!$N24,
IF(guodubiaoge!$D24="Te0+Sim+10",[5]guodubiaoge!$O24,
IF(guodubiaoge!$F24="Te0+Sim+10",[5]guodubiaoge!$P24,
IF(guodubiaoge!$H24="Te0+Sim+10",[5]guodubiaoge!$Q24,""))))</f>
        <v>-70.560468117898694</v>
      </c>
      <c r="O24" t="str">
        <f>IF(guodubiaoge!$B24="Te0+SL+10",[5]guodubiaoge!$N24,
IF(guodubiaoge!$D24="Te0+SL+10",[5]guodubiaoge!$O24,
IF(guodubiaoge!$F24="Te0+SL+10",[5]guodubiaoge!$P24,
IF(guodubiaoge!$H24="Te0+SL+10",[5]guodubiaoge!$Q24,""))))</f>
        <v/>
      </c>
      <c r="P24">
        <f>IF(guodubiaoge!$B24="Te0-10",[5]guodubiaoge!$N24,
IF(guodubiaoge!$D24="Te0-10",[5]guodubiaoge!$O24,
IF(guodubiaoge!$F24="Te0-10",[5]guodubiaoge!$P24,
IF(guodubiaoge!$H24="Te0-10",[5]guodubiaoge!$Q24,""))))</f>
        <v>-33.146739899819103</v>
      </c>
      <c r="Q24">
        <f>IF(guodubiaoge!$B24="Te0",[5]guodubiaoge!$R24,
IF(guodubiaoge!$D24="Te0",[5]guodubiaoge!$S24,
IF(guodubiaoge!$F24="Te0",[5]guodubiaoge!$T24,
IF(guodubiaoge!$H24="Te0",[5]guodubiaoge!$U24,""))))</f>
        <v>7</v>
      </c>
      <c r="R24">
        <f>IF(guodubiaoge!$B24="Te0+HF+6",[5]guodubiaoge!$R24,
IF(guodubiaoge!$D24="Te0+HF+6",[5]guodubiaoge!$S24,
IF(guodubiaoge!$F24="Te0+HF+6",[5]guodubiaoge!$T24,
IF(guodubiaoge!$H24="Te0+HF+6",[5]guodubiaoge!$U24,""))))</f>
        <v>7</v>
      </c>
      <c r="S24">
        <f>IF(guodubiaoge!$B24="Te0+Sim+10",[5]guodubiaoge!$R24,
IF(guodubiaoge!$D24="Te0+Sim+10",[5]guodubiaoge!$S24,
IF(guodubiaoge!$F24="Te0+Sim+10",[5]guodubiaoge!$T24,
IF(guodubiaoge!$H24="Te0+Sim+10",[5]guodubiaoge!$U24,""))))</f>
        <v>0</v>
      </c>
      <c r="T24" t="str">
        <f>IF(guodubiaoge!$B24="Te0+SL+10",[5]guodubiaoge!$R24,
IF(guodubiaoge!$D24="Te0+SL+10",[5]guodubiaoge!$S24,
IF(guodubiaoge!$F24="Te0+SL+10",[5]guodubiaoge!$T24,
IF(guodubiaoge!$H24="Te0+SL+10",[5]guodubiaoge!$U24,""))))</f>
        <v/>
      </c>
      <c r="U24">
        <f>IF(guodubiaoge!$B24="Te0-10",[5]guodubiaoge!$R24,
IF(guodubiaoge!$D24="Te0-10",[5]guodubiaoge!$S24,
IF(guodubiaoge!$F24="Te0-10",[5]guodubiaoge!$T24,
IF(guodubiaoge!$H24="Te0-10",[5]guodubiaoge!$U24,""))))</f>
        <v>5</v>
      </c>
      <c r="V24">
        <f>IF(guodubiaoge!$B24="Te0",[5]guodubiaoge!$V24,
IF(guodubiaoge!$D24="Te0",[5]guodubiaoge!$W24,
IF(guodubiaoge!$F24="Te0",[5]guodubiaoge!$X24,
IF(guodubiaoge!$H24="Te0",[5]guodubiaoge!$Y24,""))))</f>
        <v>7</v>
      </c>
      <c r="W24">
        <f>IF(guodubiaoge!$B24="Te0+HF+6",[5]guodubiaoge!$V24,
IF(guodubiaoge!$D24="Te0+HF+6",[5]guodubiaoge!$W24,
IF(guodubiaoge!$F24="Te0+HF+6",[5]guodubiaoge!$X24,
IF(guodubiaoge!$H24="Te0+HF+6",[5]guodubiaoge!$Y24,""))))</f>
        <v>7</v>
      </c>
      <c r="X24">
        <f>IF(guodubiaoge!$B24="Te0+Sim+10",[5]guodubiaoge!$V24,
IF(guodubiaoge!$D24="Te0+Sim+10",[5]guodubiaoge!$W24,
IF(guodubiaoge!$F24="Te0+Sim+10",[5]guodubiaoge!$X24,
IF(guodubiaoge!$H24="Te0+Sim+10",[5]guodubiaoge!$Y24,""))))</f>
        <v>5</v>
      </c>
      <c r="Y24" t="str">
        <f>IF(guodubiaoge!$B24="Te0+SL+10",[5]guodubiaoge!$U24,
IF(guodubiaoge!$D24="Te0+SL+10",[5]guodubiaoge!$W24,
IF(guodubiaoge!$F24="Te0+SL+10",[5]guodubiaoge!$X24,
IF(guodubiaoge!$H24="Te0+SL+10",[5]guodubiaoge!$Y24,""))))</f>
        <v/>
      </c>
      <c r="Z24">
        <f>IF(guodubiaoge!$B24="Te0-10",[5]guodubiaoge!$U24,
IF(guodubiaoge!$D24="Te0-10",[5]guodubiaoge!$W24,
IF(guodubiaoge!$F24="Te0-10",[5]guodubiaoge!$X24,
IF(guodubiaoge!$H24="Te0-10",[5]guodubiaoge!$Y24,""))))</f>
        <v>7</v>
      </c>
      <c r="AA24">
        <f>IF(guodubiaoge!$B24="Te0",[5]guodubiaoge!$Z24,
IF(guodubiaoge!$D24="Te0",[5]guodubiaoge!$AA24,
IF(guodubiaoge!$F24="Te0",[5]guodubiaoge!$AB24,
IF(guodubiaoge!$H24="Te0",[5]guodubiaoge!$AC24,""))))</f>
        <v>12.6375546123693</v>
      </c>
      <c r="AB24">
        <f>IF(guodubiaoge!$B24="Te0+HF+6",[5]guodubiaoge!$Z24,
IF(guodubiaoge!$D24="Te0+HF+6",[5]guodubiaoge!$AA24,
IF(guodubiaoge!$F24="Te0+HF+6",[5]guodubiaoge!$AB24,
IF(guodubiaoge!$H24="Te0+HF+6",[5]guodubiaoge!$AC24,""))))</f>
        <v>-8.3280049805573402</v>
      </c>
      <c r="AC24">
        <f>IF(guodubiaoge!$B24="Te0+Sim+10",[5]guodubiaoge!$Z24,
IF(guodubiaoge!$D24="Te0+Sim+10",[5]guodubiaoge!$AA24,
IF(guodubiaoge!$F24="Te0+Sim+10",[5]guodubiaoge!$AB24,
IF(guodubiaoge!$H24="Te0+Sim+10",[5]guodubiaoge!$AC24,""))))</f>
        <v>5.5005828714374996</v>
      </c>
      <c r="AD24" t="str">
        <f>IF(guodubiaoge!$B24="Te0+SL+10",[5]guodubiaoge!$Z24,
IF(guodubiaoge!$D24="Te0+SL+10",[5]guodubiaoge!$AA24,
IF(guodubiaoge!$F24="Te0+SL+10",[5]guodubiaoge!$AB24,
IF(guodubiaoge!$H24="Te0+SL+10",[5]guodubiaoge!$AC24,""))))</f>
        <v/>
      </c>
      <c r="AE24">
        <f>IF(guodubiaoge!$B24="Te0-10",[5]guodubiaoge!$Z24,
IF(guodubiaoge!$D24="Te0-10",[5]guodubiaoge!$AA24,
IF(guodubiaoge!$F24="Te0-10",[5]guodubiaoge!$AB24,
IF(guodubiaoge!$H24="Te0-10",[5]guodubiaoge!$AC24,""))))</f>
        <v>3.96033629077108</v>
      </c>
      <c r="AF24">
        <f t="shared" si="0"/>
        <v>-0.15959809340575276</v>
      </c>
      <c r="AG24">
        <f t="shared" si="1"/>
        <v>-2.8410632785453682</v>
      </c>
      <c r="AH24" t="str">
        <f t="shared" si="2"/>
        <v/>
      </c>
      <c r="AI24">
        <f t="shared" si="3"/>
        <v>0.36739986683330106</v>
      </c>
      <c r="AJ24">
        <f t="shared" si="4"/>
        <v>-2.1998735961773619</v>
      </c>
      <c r="AK24" t="str">
        <f t="shared" si="5"/>
        <v/>
      </c>
      <c r="AL24">
        <f t="shared" si="6"/>
        <v>0.2078017734275483</v>
      </c>
      <c r="AM24">
        <f t="shared" si="7"/>
        <v>-5.0409368747227301</v>
      </c>
      <c r="AN24" t="str">
        <f t="shared" si="8"/>
        <v/>
      </c>
      <c r="AO24">
        <f t="shared" si="9"/>
        <v>-7.5338575662646859E-2</v>
      </c>
      <c r="AP24">
        <f t="shared" si="10"/>
        <v>-0.57972109953725515</v>
      </c>
      <c r="AQ24" t="str">
        <f t="shared" si="11"/>
        <v/>
      </c>
      <c r="AR24">
        <f t="shared" si="12"/>
        <v>-9.0773355238996378E-2</v>
      </c>
      <c r="AS24">
        <f t="shared" si="13"/>
        <v>-8.7793818985447941E-2</v>
      </c>
      <c r="AT24" t="str">
        <f t="shared" si="14"/>
        <v/>
      </c>
      <c r="AU24">
        <f t="shared" si="15"/>
        <v>-0.23590980013358059</v>
      </c>
      <c r="AV24">
        <f t="shared" si="16"/>
        <v>-0.73616917696674411</v>
      </c>
      <c r="AW24" t="str">
        <f t="shared" si="17"/>
        <v/>
      </c>
      <c r="AX24" s="21">
        <f t="shared" si="18"/>
        <v>-2.4878503880316214E-3</v>
      </c>
      <c r="AY24">
        <f t="shared" si="19"/>
        <v>-0.22465534958725325</v>
      </c>
      <c r="AZ24">
        <f t="shared" si="20"/>
        <v>5.0833198859768745E-2</v>
      </c>
      <c r="BA24" t="str">
        <f t="shared" si="21"/>
        <v/>
      </c>
      <c r="BB24">
        <f>IF(guodubiaoge!$B24="TE0",[5]guodubiaoge!$AD24,
IF(guodubiaoge!$D24="TE0",[5]guodubiaoge!$AE24,
IF(guodubiaoge!$F24="TE0",[5]guodubiaoge!$AF24,
IF(guodubiaoge!$H24="TE0",[5]guodubiaoge!$AG24,""))))</f>
        <v>-3.5834943350980799E-3</v>
      </c>
      <c r="BC24">
        <f>IF(guodubiaoge!$B24="TE0+HF+6",[5]guodubiaoge!$AD24,
IF(guodubiaoge!$D24="TE0+HF+6",[5]guodubiaoge!$AE24,
IF(guodubiaoge!$F24="TE0+HF+6",[5]guodubiaoge!$AF24,
IF(guodubiaoge!$H24="TE0+HF+6",[5]guodubiaoge!$AG24,""))))</f>
        <v>-1.6448969522368101E-4</v>
      </c>
      <c r="BD24">
        <f>IF(guodubiaoge!$B24="TE0+Sim+10",[5]guodubiaoge!$AD24,
IF(guodubiaoge!$D24="TE0+Sim+10",[5]guodubiaoge!$AE24,
IF(guodubiaoge!$F24="TE0+Sim+10",[5]guodubiaoge!$AF24,
IF(guodubiaoge!$H24="TE0+Sim+10",[5]guodubiaoge!$AG24,""))))</f>
        <v>1.1225713696064801</v>
      </c>
      <c r="BE24" t="str">
        <f>IF(guodubiaoge!$B24="TE0+SL+10",[5]guodubiaoge!$AD24,
IF(guodubiaoge!$D24="TE0+SL+10",[5]guodubiaoge!$AE24,
IF(guodubiaoge!$F24="TE0+SL+10",[5]guodubiaoge!$AF24,
IF(guodubiaoge!$H24="TE0+SL+10",[5]guodubiaoge!$AG24,""))))</f>
        <v/>
      </c>
      <c r="BF24">
        <f>IF(guodubiaoge!$B24="TE0",[5]guodubiaoge!$AH24,
IF(guodubiaoge!$D24="TE0",[5]guodubiaoge!$AI24,
IF(guodubiaoge!$F24="TE0",[5]guodubiaoge!$AJ24,
IF(guodubiaoge!$H24="TE0",[5]guodubiaoge!$AK24,""))))</f>
        <v>-5.15569620253171E-2</v>
      </c>
      <c r="BG24">
        <f>IF(guodubiaoge!$B24="TE0+HF+6",[5]guodubiaoge!$AH24,
IF(guodubiaoge!$D24="TE0+HF+6",[5]guodubiaoge!$AI24,
IF(guodubiaoge!$F24="TE0+HF+6",[5]guodubiaoge!$AJ24,
IF(guodubiaoge!$H24="TE0+HF+6",[5]guodubiaoge!$AK24,""))))</f>
        <v>-1.56290297937377E-2</v>
      </c>
      <c r="BH24">
        <f>IF(guodubiaoge!$B24="TE0+Sim+10",[5]guodubiaoge!$AH24,
IF(guodubiaoge!$D24="TE0+Sim+10",[5]guodubiaoge!$AI24,
IF(guodubiaoge!$F24="TE0+Sim+10",[5]guodubiaoge!$AJ24,
IF(guodubiaoge!$H24="TE0+Sim+10",[5]guodubiaoge!$AK24,""))))</f>
        <v>-0.27325000000000099</v>
      </c>
      <c r="BI24" t="str">
        <f>IF(guodubiaoge!$B24="TE0+SL+10",[5]guodubiaoge!$AH24,
IF(guodubiaoge!$D24="TE0+SL+10",[5]guodubiaoge!$AI24,
IF(guodubiaoge!$F24="TE0+SL+10",[5]guodubiaoge!$AJ24,
IF(guodubiaoge!$H24="TE0+SL+10",[5]guodubiaoge!$AK24,""))))</f>
        <v/>
      </c>
      <c r="BJ24">
        <f>IF(guodubiaoge!$B24="TE0",[5]guodubiaoge!$AL24,
IF(guodubiaoge!$D24="TE0",[5]guodubiaoge!$AM24,
IF(guodubiaoge!$F24="TE0",[5]guodubiaoge!$AN24,
IF(guodubiaoge!$H24="TE0",[5]guodubiaoge!$AO24,""))))</f>
        <v>2.0416108034847098</v>
      </c>
      <c r="BK24">
        <f>IF(guodubiaoge!$B24="TE0+HF+6",[5]guodubiaoge!$AL24,
IF(guodubiaoge!$D24="TE0+HF+6",[5]guodubiaoge!$AM24,
IF(guodubiaoge!$F24="TE0+HF+6",[5]guodubiaoge!$AN24,
IF(guodubiaoge!$H24="TE0+HF+6",[5]guodubiaoge!$AO24,""))))</f>
        <v>-22.531161356592101</v>
      </c>
      <c r="BL24">
        <f>IF(guodubiaoge!$B24="TE0+Sim+10",[5]guodubiaoge!$AL24,
IF(guodubiaoge!$D24="TE0+Sim+10",[5]guodubiaoge!$AM24,
IF(guodubiaoge!$F24="TE0+Sim+10",[5]guodubiaoge!$AN24,
IF(guodubiaoge!$H24="TE0+Sim+10",[5]guodubiaoge!$AO24,""))))</f>
        <v>21.157482842157201</v>
      </c>
      <c r="BM24" t="str">
        <f>IF(guodubiaoge!$B24="TE0+SL+10",[5]guodubiaoge!$AL24,
IF(guodubiaoge!$D24="TE0+SL+10",[5]guodubiaoge!$AM24,
IF(guodubiaoge!$F24="TE0+SL+10",[5]guodubiaoge!$AN24,
IF(guodubiaoge!$H24="TE0+SL+10",[5]guodubiaoge!$AO24,""))))</f>
        <v/>
      </c>
      <c r="BN24">
        <f>IF(guodubiaoge!$B24="TE0",[5]guodubiaoge!$AP24,
IF(guodubiaoge!$D24="TE0",[5]guodubiaoge!$AQ24,
IF(guodubiaoge!$F24="TE0",[5]guodubiaoge!$AR24,
IF(guodubiaoge!$H24="TE0",[5]guodubiaoge!$AS24,""))))</f>
        <v>-0.83847397777049104</v>
      </c>
      <c r="BO24">
        <f>IF(guodubiaoge!$B24="TE0+HF+6",[5]guodubiaoge!$AP24,
IF(guodubiaoge!$D24="TE0+HF+6",[5]guodubiaoge!$AQ24,
IF(guodubiaoge!$F24="TE0+HF+6",[5]guodubiaoge!$AR24,
IF(guodubiaoge!$H24="TE0+HF+6",[5]guodubiaoge!$AS24,""))))</f>
        <v>-5.2876259187517096</v>
      </c>
      <c r="BP24">
        <f>IF(guodubiaoge!$B24="TE0+Sim+10",[5]guodubiaoge!$AP24,
IF(guodubiaoge!$D24="TE0+Sim+10",[5]guodubiaoge!$AQ24,
IF(guodubiaoge!$F24="TE0+Sim+10",[5]guodubiaoge!$AR24,
IF(guodubiaoge!$H24="TE0+Sim+10",[5]guodubiaoge!$AS24,""))))</f>
        <v>-62.702686017302199</v>
      </c>
      <c r="BQ24" t="str">
        <f>IF(guodubiaoge!$B24="TE0+SL+10",[5]guodubiaoge!$AP24,
IF(guodubiaoge!$D24="TE0+SL+10",[5]guodubiaoge!$AQ24,
IF(guodubiaoge!$F24="TE0+SL+10",[5]guodubiaoge!$AR24,
IF(guodubiaoge!$H24="TE0+SL+10",[5]guodubiaoge!$AS24,""))))</f>
        <v/>
      </c>
      <c r="BR24">
        <f t="shared" si="22"/>
        <v>-0.38317336163202181</v>
      </c>
      <c r="BS24" s="26">
        <f t="shared" si="23"/>
        <v>0.1264463816394282</v>
      </c>
      <c r="BT24" s="26">
        <f t="shared" si="24"/>
        <v>3.0149553133029894</v>
      </c>
      <c r="BU24" s="26" t="str">
        <f t="shared" si="25"/>
        <v/>
      </c>
      <c r="BV24" s="26">
        <f t="shared" si="26"/>
        <v>-0.25306874518778405</v>
      </c>
      <c r="BW24">
        <f t="shared" si="27"/>
        <v>-0.25112994670660466</v>
      </c>
      <c r="BX24">
        <f t="shared" si="28"/>
        <v>-1.1121140563475518</v>
      </c>
      <c r="BY24" t="str">
        <f t="shared" si="29"/>
        <v/>
      </c>
      <c r="BZ24">
        <f t="shared" si="30"/>
        <v>0.24575196733681051</v>
      </c>
      <c r="CA24">
        <f t="shared" si="31"/>
        <v>-0.17687097045872174</v>
      </c>
      <c r="CB24">
        <f t="shared" si="32"/>
        <v>0.72146573358728028</v>
      </c>
      <c r="CC24" t="str">
        <f t="shared" si="33"/>
        <v/>
      </c>
      <c r="CD24">
        <f t="shared" si="34"/>
        <v>5.4620644821936834E-2</v>
      </c>
      <c r="CE24">
        <f t="shared" si="35"/>
        <v>-0.16057122447093372</v>
      </c>
      <c r="CF24">
        <f t="shared" si="36"/>
        <v>-0.15644807742948896</v>
      </c>
      <c r="CG24" t="str">
        <f t="shared" si="37"/>
        <v/>
      </c>
      <c r="CH24">
        <f t="shared" si="38"/>
        <v>-0.63624210681980586</v>
      </c>
      <c r="CI24">
        <f t="shared" si="39"/>
        <v>-0.12468356506717646</v>
      </c>
      <c r="CJ24">
        <f t="shared" si="40"/>
        <v>1.9028412569554376</v>
      </c>
      <c r="CK24" t="str">
        <f t="shared" si="41"/>
        <v/>
      </c>
      <c r="CL24">
        <f t="shared" si="42"/>
        <v>0.44556144808713838</v>
      </c>
      <c r="CM24">
        <f t="shared" si="43"/>
        <v>-0.26764432569771812</v>
      </c>
      <c r="CN24">
        <f t="shared" si="44"/>
        <v>0.63367191460183236</v>
      </c>
      <c r="CO24" t="str">
        <f t="shared" si="45"/>
        <v/>
      </c>
      <c r="CP24">
        <f>IF(AA24="","",(AA24-AVERAGE($AA$2:AA$26))/_xlfn.STDEV.S($AA$2:$AA$26))</f>
        <v>0.19980948075032784</v>
      </c>
      <c r="CQ24">
        <f>IF(L24="","",(L24-AVERAGE($L$2:L$26))/_xlfn.STDEV.S($L$2:$L$26))</f>
        <v>0.16652925263972601</v>
      </c>
      <c r="CR24">
        <f t="shared" si="46"/>
        <v>0.22114989746166286</v>
      </c>
      <c r="CS24">
        <f>IF(B24="","",(B24-AVERAGE($B$2:B$26))/_xlfn.STDEV.S($B$2:$B$26))</f>
        <v>-8.5202877560377088E-2</v>
      </c>
      <c r="CT24">
        <f>IF(G24="","",(G24-AVERAGE($G$2:G$26))/_xlfn.STDEV.S($G$2:$G$26))</f>
        <v>-1.4965731439286096</v>
      </c>
      <c r="CU24">
        <f t="shared" si="47"/>
        <v>-1.5817760214889867</v>
      </c>
    </row>
    <row r="25" spans="1:99">
      <c r="A25">
        <v>24</v>
      </c>
      <c r="B25" s="21">
        <f>IF(guodubiaoge!$B25="Te0",[5]guodubiaoge!$C25,
IF(guodubiaoge!$D25="Te0",[5]guodubiaoge!$E25,
IF(guodubiaoge!$F25="Te0",[5]guodubiaoge!$G25,
IF(guodubiaoge!$H25="Te0",[5]guodubiaoge!$I25,""))))</f>
        <v>1.0551076194281199E-3</v>
      </c>
      <c r="C25">
        <f>IF(guodubiaoge!$B25="Te0+HF+6",[5]guodubiaoge!$C25,
IF(guodubiaoge!$D25="Te0+HF+6",[5]guodubiaoge!$E25,
IF(guodubiaoge!$F25="Te0+HF+6",[5]guodubiaoge!$G25,
IF(guodubiaoge!$H25="Te0+HF+6",[5]guodubiaoge!$I25,""))))</f>
        <v>1.78407339783153E-3</v>
      </c>
      <c r="D25" t="str">
        <f>IF(guodubiaoge!$B25="Te0+Sim+10",[5]guodubiaoge!$C25,
IF(guodubiaoge!$D25="Te0+Sim+10",[5]guodubiaoge!$E25,
IF(guodubiaoge!$F25="Te0+Sim+10",[5]guodubiaoge!$G25,
IF(guodubiaoge!$H25="Te0+Sim+10",[5]guodubiaoge!$I25,""))))</f>
        <v/>
      </c>
      <c r="E25">
        <f>IF(guodubiaoge!$B25="Te0+SL+10",[5]guodubiaoge!$C25,
IF(guodubiaoge!$D25="Te0+SL+10",[5]guodubiaoge!$E25,
IF(guodubiaoge!$F25="Te0+SL+10",[5]guodubiaoge!$G25,
IF(guodubiaoge!$H25="Te0+SL+10",[5]guodubiaoge!$I25,""))))</f>
        <v>-4.5616991638083003E-4</v>
      </c>
      <c r="F25">
        <f>IF(guodubiaoge!$B25="Te0-10",[5]guodubiaoge!$C25,
IF(guodubiaoge!$D25="Te0-10",[5]guodubiaoge!$E25,
IF(guodubiaoge!$F25="Te0-10",[5]guodubiaoge!$G25,
IF(guodubiaoge!$H25="Te0-10",[5]guodubiaoge!$I25,""))))</f>
        <v>4.5099007956112002E-4</v>
      </c>
      <c r="G25">
        <f>IF(guodubiaoge!$B25="Te0",[5]guodubiaoge!$J25,
IF(guodubiaoge!$D25="Te0",[5]guodubiaoge!$K25,
IF(guodubiaoge!$F25="Te0",[5]guodubiaoge!$L25,
IF(guodubiaoge!$H25="Te0",[5]guodubiaoge!$M25,""))))</f>
        <v>0.107161278735632</v>
      </c>
      <c r="H25">
        <f>IF(guodubiaoge!$B25="Te0+HF+6",[5]guodubiaoge!$J25,
IF(guodubiaoge!$D25="Te0+HF+6",[5]guodubiaoge!$K25,
IF(guodubiaoge!$F25="Te0+HF+6",[5]guodubiaoge!$L25,
IF(guodubiaoge!$H25="Te0+HF+6",[5]guodubiaoge!$M25,""))))</f>
        <v>-3.9884615384615602E-2</v>
      </c>
      <c r="I25" t="str">
        <f>IF(guodubiaoge!$B25="Te0+Sim+10",[5]guodubiaoge!$J25,
IF(guodubiaoge!$D25="Te0+Sim+10",[5]guodubiaoge!$K25,
IF(guodubiaoge!$F25="Te0+Sim+10",[5]guodubiaoge!$L25,
IF(guodubiaoge!$H25="Te0+Sim+10",[5]guodubiaoge!$M25,""))))</f>
        <v/>
      </c>
      <c r="J25">
        <f>IF(guodubiaoge!$B25="Te0+SL+10",[5]guodubiaoge!$J25,
IF(guodubiaoge!$D25="Te0+SL+10",[5]guodubiaoge!$K25,
IF(guodubiaoge!$F25="Te0+SL+10",[5]guodubiaoge!$L25,
IF(guodubiaoge!$H25="Te0+SL+10",[5]guodubiaoge!$M25,""))))</f>
        <v>-5.6985347985347698E-2</v>
      </c>
      <c r="K25">
        <f>IF(guodubiaoge!$B25="Te0-10",[5]guodubiaoge!$J25,
IF(guodubiaoge!$D25="Te0-10",[5]guodubiaoge!$K25,
IF(guodubiaoge!$F25="Te0-10",[5]guodubiaoge!$L25,
IF(guodubiaoge!$H25="Te0-10",[5]guodubiaoge!$M25,""))))</f>
        <v>-5.4408333333332497E-2</v>
      </c>
      <c r="L25">
        <f>IF(guodubiaoge!$B25="Te0",[5]guodubiaoge!$N25,
IF(guodubiaoge!$D25="Te0",[5]guodubiaoge!$O25,
IF(guodubiaoge!$F25="Te0",[5]guodubiaoge!$P25,
IF(guodubiaoge!$H25="Te0",[5]guodubiaoge!$Q25,""))))</f>
        <v>-141.54643739562499</v>
      </c>
      <c r="M25">
        <f>IF(guodubiaoge!$B25="Te0+HF+6",[5]guodubiaoge!$N25,
IF(guodubiaoge!$D25="Te0+HF+6",[5]guodubiaoge!$O25,
IF(guodubiaoge!$F25="Te0+HF+6",[5]guodubiaoge!$P25,
IF(guodubiaoge!$H25="Te0+HF+6",[5]guodubiaoge!$Q25,""))))</f>
        <v>270.32721769227402</v>
      </c>
      <c r="N25" t="str">
        <f>IF(guodubiaoge!$B25="Te0+Sim+10",[5]guodubiaoge!$N25,
IF(guodubiaoge!$D25="Te0+Sim+10",[5]guodubiaoge!$O25,
IF(guodubiaoge!$F25="Te0+Sim+10",[5]guodubiaoge!$P25,
IF(guodubiaoge!$H25="Te0+Sim+10",[5]guodubiaoge!$Q25,""))))</f>
        <v/>
      </c>
      <c r="O25">
        <f>IF(guodubiaoge!$B25="Te0+SL+10",[5]guodubiaoge!$N25,
IF(guodubiaoge!$D25="Te0+SL+10",[5]guodubiaoge!$O25,
IF(guodubiaoge!$F25="Te0+SL+10",[5]guodubiaoge!$P25,
IF(guodubiaoge!$H25="Te0+SL+10",[5]guodubiaoge!$Q25,""))))</f>
        <v>-326.00755414571302</v>
      </c>
      <c r="P25">
        <f>IF(guodubiaoge!$B25="Te0-10",[5]guodubiaoge!$N25,
IF(guodubiaoge!$D25="Te0-10",[5]guodubiaoge!$O25,
IF(guodubiaoge!$F25="Te0-10",[5]guodubiaoge!$P25,
IF(guodubiaoge!$H25="Te0-10",[5]guodubiaoge!$Q25,""))))</f>
        <v>-66.740369515585698</v>
      </c>
      <c r="Q25">
        <f>IF(guodubiaoge!$B25="Te0",[5]guodubiaoge!$R25,
IF(guodubiaoge!$D25="Te0",[5]guodubiaoge!$S25,
IF(guodubiaoge!$F25="Te0",[5]guodubiaoge!$T25,
IF(guodubiaoge!$H25="Te0",[5]guodubiaoge!$U25,""))))</f>
        <v>6</v>
      </c>
      <c r="R25">
        <f>IF(guodubiaoge!$B25="Te0+HF+6",[5]guodubiaoge!$R25,
IF(guodubiaoge!$D25="Te0+HF+6",[5]guodubiaoge!$S25,
IF(guodubiaoge!$F25="Te0+HF+6",[5]guodubiaoge!$T25,
IF(guodubiaoge!$H25="Te0+HF+6",[5]guodubiaoge!$U25,""))))</f>
        <v>6</v>
      </c>
      <c r="S25" t="str">
        <f>IF(guodubiaoge!$B25="Te0+Sim+10",[5]guodubiaoge!$R25,
IF(guodubiaoge!$D25="Te0+Sim+10",[5]guodubiaoge!$S25,
IF(guodubiaoge!$F25="Te0+Sim+10",[5]guodubiaoge!$T25,
IF(guodubiaoge!$H25="Te0+Sim+10",[5]guodubiaoge!$U25,""))))</f>
        <v/>
      </c>
      <c r="T25">
        <f>IF(guodubiaoge!$B25="Te0+SL+10",[5]guodubiaoge!$R25,
IF(guodubiaoge!$D25="Te0+SL+10",[5]guodubiaoge!$S25,
IF(guodubiaoge!$F25="Te0+SL+10",[5]guodubiaoge!$T25,
IF(guodubiaoge!$H25="Te0+SL+10",[5]guodubiaoge!$U25,""))))</f>
        <v>6</v>
      </c>
      <c r="U25">
        <f>IF(guodubiaoge!$B25="Te0-10",[5]guodubiaoge!$R25,
IF(guodubiaoge!$D25="Te0-10",[5]guodubiaoge!$S25,
IF(guodubiaoge!$F25="Te0-10",[5]guodubiaoge!$T25,
IF(guodubiaoge!$H25="Te0-10",[5]guodubiaoge!$U25,""))))</f>
        <v>6</v>
      </c>
      <c r="V25">
        <f>IF(guodubiaoge!$B25="Te0",[5]guodubiaoge!$V25,
IF(guodubiaoge!$D25="Te0",[5]guodubiaoge!$W25,
IF(guodubiaoge!$F25="Te0",[5]guodubiaoge!$X25,
IF(guodubiaoge!$H25="Te0",[5]guodubiaoge!$Y25,""))))</f>
        <v>7</v>
      </c>
      <c r="W25">
        <f>IF(guodubiaoge!$B25="Te0+HF+6",[5]guodubiaoge!$V25,
IF(guodubiaoge!$D25="Te0+HF+6",[5]guodubiaoge!$W25,
IF(guodubiaoge!$F25="Te0+HF+6",[5]guodubiaoge!$X25,
IF(guodubiaoge!$H25="Te0+HF+6",[5]guodubiaoge!$Y25,""))))</f>
        <v>3</v>
      </c>
      <c r="X25" t="str">
        <f>IF(guodubiaoge!$B25="Te0+Sim+10",[5]guodubiaoge!$V25,
IF(guodubiaoge!$D25="Te0+Sim+10",[5]guodubiaoge!$W25,
IF(guodubiaoge!$F25="Te0+Sim+10",[5]guodubiaoge!$X25,
IF(guodubiaoge!$H25="Te0+Sim+10",[5]guodubiaoge!$Y25,""))))</f>
        <v/>
      </c>
      <c r="Y25">
        <f>IF(guodubiaoge!$B25="Te0+SL+10",[5]guodubiaoge!$U25,
IF(guodubiaoge!$D25="Te0+SL+10",[5]guodubiaoge!$W25,
IF(guodubiaoge!$F25="Te0+SL+10",[5]guodubiaoge!$X25,
IF(guodubiaoge!$H25="Te0+SL+10",[5]guodubiaoge!$Y25,""))))</f>
        <v>7</v>
      </c>
      <c r="Z25">
        <f>IF(guodubiaoge!$B25="Te0-10",[5]guodubiaoge!$U25,
IF(guodubiaoge!$D25="Te0-10",[5]guodubiaoge!$W25,
IF(guodubiaoge!$F25="Te0-10",[5]guodubiaoge!$X25,
IF(guodubiaoge!$H25="Te0-10",[5]guodubiaoge!$Y25,""))))</f>
        <v>7</v>
      </c>
      <c r="AA25">
        <f>IF(guodubiaoge!$B25="Te0",[5]guodubiaoge!$Z25,
IF(guodubiaoge!$D25="Te0",[5]guodubiaoge!$AA25,
IF(guodubiaoge!$F25="Te0",[5]guodubiaoge!$AB25,
IF(guodubiaoge!$H25="Te0",[5]guodubiaoge!$AC25,""))))</f>
        <v>-14.9594399959611</v>
      </c>
      <c r="AB25">
        <f>IF(guodubiaoge!$B25="Te0+HF+6",[5]guodubiaoge!$Z25,
IF(guodubiaoge!$D25="Te0+HF+6",[5]guodubiaoge!$AA25,
IF(guodubiaoge!$F25="Te0+HF+6",[5]guodubiaoge!$AB25,
IF(guodubiaoge!$H25="Te0+HF+6",[5]guodubiaoge!$AC25,""))))</f>
        <v>183.44957889892501</v>
      </c>
      <c r="AC25" t="str">
        <f>IF(guodubiaoge!$B25="Te0+Sim+10",[5]guodubiaoge!$Z25,
IF(guodubiaoge!$D25="Te0+Sim+10",[5]guodubiaoge!$AA25,
IF(guodubiaoge!$F25="Te0+Sim+10",[5]guodubiaoge!$AB25,
IF(guodubiaoge!$H25="Te0+Sim+10",[5]guodubiaoge!$AC25,""))))</f>
        <v/>
      </c>
      <c r="AD25">
        <f>IF(guodubiaoge!$B25="Te0+SL+10",[5]guodubiaoge!$Z25,
IF(guodubiaoge!$D25="Te0+SL+10",[5]guodubiaoge!$AA25,
IF(guodubiaoge!$F25="Te0+SL+10",[5]guodubiaoge!$AB25,
IF(guodubiaoge!$H25="Te0+SL+10",[5]guodubiaoge!$AC25,""))))</f>
        <v>-290.63858600597302</v>
      </c>
      <c r="AE25">
        <f>IF(guodubiaoge!$B25="Te0-10",[5]guodubiaoge!$Z25,
IF(guodubiaoge!$D25="Te0-10",[5]guodubiaoge!$AA25,
IF(guodubiaoge!$F25="Te0-10",[5]guodubiaoge!$AB25,
IF(guodubiaoge!$H25="Te0-10",[5]guodubiaoge!$AC25,""))))</f>
        <v>-189.16690698623901</v>
      </c>
      <c r="AF25">
        <f t="shared" si="0"/>
        <v>0.29185527108617282</v>
      </c>
      <c r="AG25" t="str">
        <f t="shared" si="1"/>
        <v/>
      </c>
      <c r="AH25">
        <f t="shared" si="2"/>
        <v>7.8243717673383752E-3</v>
      </c>
      <c r="AI25">
        <f t="shared" si="3"/>
        <v>-0.59924211755620471</v>
      </c>
      <c r="AJ25" t="str">
        <f t="shared" si="4"/>
        <v/>
      </c>
      <c r="AK25">
        <f t="shared" si="5"/>
        <v>-1.4293596431768462E-2</v>
      </c>
      <c r="AL25">
        <f t="shared" si="6"/>
        <v>-0.30738684647003189</v>
      </c>
      <c r="AM25" t="str">
        <f t="shared" si="7"/>
        <v/>
      </c>
      <c r="AN25">
        <f t="shared" si="8"/>
        <v>-6.4692246644300865E-3</v>
      </c>
      <c r="AO25">
        <f t="shared" si="9"/>
        <v>1.0207058732872214</v>
      </c>
      <c r="AP25" t="str">
        <f t="shared" si="10"/>
        <v/>
      </c>
      <c r="AQ25">
        <f t="shared" si="11"/>
        <v>-1.2997108202417256</v>
      </c>
      <c r="AR25">
        <f t="shared" si="12"/>
        <v>1.1174497939390551</v>
      </c>
      <c r="AS25" t="str">
        <f t="shared" si="13"/>
        <v/>
      </c>
      <c r="AT25">
        <f t="shared" si="14"/>
        <v>-2.7544792333557875</v>
      </c>
      <c r="AU25">
        <f t="shared" si="15"/>
        <v>1.7615785489764202</v>
      </c>
      <c r="AV25" t="str">
        <f t="shared" si="16"/>
        <v/>
      </c>
      <c r="AW25">
        <f t="shared" si="17"/>
        <v>-3.0502292610756143</v>
      </c>
      <c r="AX25" s="21">
        <f t="shared" si="18"/>
        <v>9.8459782477127913E-3</v>
      </c>
      <c r="AY25">
        <f t="shared" si="19"/>
        <v>-4.473086629085779E-2</v>
      </c>
      <c r="AZ25" t="str">
        <f t="shared" si="20"/>
        <v/>
      </c>
      <c r="BA25">
        <f t="shared" si="21"/>
        <v>8.0050387074607713E-3</v>
      </c>
      <c r="BB25">
        <f>IF(guodubiaoge!$B25="TE0",[5]guodubiaoge!$AD25,
IF(guodubiaoge!$D25="TE0",[5]guodubiaoge!$AE25,
IF(guodubiaoge!$F25="TE0",[5]guodubiaoge!$AF25,
IF(guodubiaoge!$H25="TE0",[5]guodubiaoge!$AG25,""))))</f>
        <v>-2.1049545680975001E-3</v>
      </c>
      <c r="BC25">
        <f>IF(guodubiaoge!$B25="TE0+HF+6",[5]guodubiaoge!$AD25,
IF(guodubiaoge!$D25="TE0+HF+6",[5]guodubiaoge!$AE25,
IF(guodubiaoge!$F25="TE0+HF+6",[5]guodubiaoge!$AF25,
IF(guodubiaoge!$H25="TE0+HF+6",[5]guodubiaoge!$AG25,""))))</f>
        <v>8.7852469244782997E-4</v>
      </c>
      <c r="BD25" t="str">
        <f>IF(guodubiaoge!$B25="TE0+Sim+10",[5]guodubiaoge!$AD25,
IF(guodubiaoge!$D25="TE0+Sim+10",[5]guodubiaoge!$AE25,
IF(guodubiaoge!$F25="TE0+Sim+10",[5]guodubiaoge!$AF25,
IF(guodubiaoge!$H25="TE0+Sim+10",[5]guodubiaoge!$AG25,""))))</f>
        <v/>
      </c>
      <c r="BE25">
        <f>IF(guodubiaoge!$B25="TE0+SL+10",[5]guodubiaoge!$AD25,
IF(guodubiaoge!$D25="TE0+SL+10",[5]guodubiaoge!$AE25,
IF(guodubiaoge!$F25="TE0+SL+10",[5]guodubiaoge!$AF25,
IF(guodubiaoge!$H25="TE0+SL+10",[5]guodubiaoge!$AG25,""))))</f>
        <v>3.4271209947878101E-4</v>
      </c>
      <c r="BF25">
        <f>IF(guodubiaoge!$B25="TE0",[5]guodubiaoge!$AH25,
IF(guodubiaoge!$D25="TE0",[5]guodubiaoge!$AI25,
IF(guodubiaoge!$F25="TE0",[5]guodubiaoge!$AJ25,
IF(guodubiaoge!$H25="TE0",[5]guodubiaoge!$AK25,""))))</f>
        <v>1.55727472527484E-2</v>
      </c>
      <c r="BG25">
        <f>IF(guodubiaoge!$B25="TE0+HF+6",[5]guodubiaoge!$AH25,
IF(guodubiaoge!$D25="TE0+HF+6",[5]guodubiaoge!$AI25,
IF(guodubiaoge!$F25="TE0+HF+6",[5]guodubiaoge!$AJ25,
IF(guodubiaoge!$H25="TE0+HF+6",[5]guodubiaoge!$AK25,""))))</f>
        <v>-2.5303119868637002E-2</v>
      </c>
      <c r="BH25" t="str">
        <f>IF(guodubiaoge!$B25="TE0+Sim+10",[5]guodubiaoge!$AH25,
IF(guodubiaoge!$D25="TE0+Sim+10",[5]guodubiaoge!$AI25,
IF(guodubiaoge!$F25="TE0+Sim+10",[5]guodubiaoge!$AJ25,
IF(guodubiaoge!$H25="TE0+Sim+10",[5]guodubiaoge!$AK25,""))))</f>
        <v/>
      </c>
      <c r="BI25">
        <f>IF(guodubiaoge!$B25="TE0+SL+10",[5]guodubiaoge!$AH25,
IF(guodubiaoge!$D25="TE0+SL+10",[5]guodubiaoge!$AI25,
IF(guodubiaoge!$F25="TE0+SL+10",[5]guodubiaoge!$AJ25,
IF(guodubiaoge!$H25="TE0+SL+10",[5]guodubiaoge!$AK25,""))))</f>
        <v>9.2148467432950798E-2</v>
      </c>
      <c r="BJ25">
        <f>IF(guodubiaoge!$B25="TE0",[5]guodubiaoge!$AL25,
IF(guodubiaoge!$D25="TE0",[5]guodubiaoge!$AM25,
IF(guodubiaoge!$F25="TE0",[5]guodubiaoge!$AN25,
IF(guodubiaoge!$H25="TE0",[5]guodubiaoge!$AO25,""))))</f>
        <v>4.6323966456879999</v>
      </c>
      <c r="BK25">
        <f>IF(guodubiaoge!$B25="TE0+HF+6",[5]guodubiaoge!$AL25,
IF(guodubiaoge!$D25="TE0+HF+6",[5]guodubiaoge!$AM25,
IF(guodubiaoge!$F25="TE0+HF+6",[5]guodubiaoge!$AN25,
IF(guodubiaoge!$H25="TE0+HF+6",[5]guodubiaoge!$AO25,""))))</f>
        <v>273.670728542191</v>
      </c>
      <c r="BL25" t="str">
        <f>IF(guodubiaoge!$B25="TE0+Sim+10",[5]guodubiaoge!$AL25,
IF(guodubiaoge!$D25="TE0+Sim+10",[5]guodubiaoge!$AM25,
IF(guodubiaoge!$F25="TE0+Sim+10",[5]guodubiaoge!$AN25,
IF(guodubiaoge!$H25="TE0+Sim+10",[5]guodubiaoge!$AO25,""))))</f>
        <v/>
      </c>
      <c r="BM25">
        <f>IF(guodubiaoge!$B25="TE0+SL+10",[5]guodubiaoge!$AL25,
IF(guodubiaoge!$D25="TE0+SL+10",[5]guodubiaoge!$AM25,
IF(guodubiaoge!$F25="TE0+SL+10",[5]guodubiaoge!$AN25,
IF(guodubiaoge!$H25="TE0+SL+10",[5]guodubiaoge!$AO25,""))))</f>
        <v>-472.01142074552303</v>
      </c>
      <c r="BN25">
        <f>IF(guodubiaoge!$B25="TE0",[5]guodubiaoge!$AP25,
IF(guodubiaoge!$D25="TE0",[5]guodubiaoge!$AQ25,
IF(guodubiaoge!$F25="TE0",[5]guodubiaoge!$AR25,
IF(guodubiaoge!$H25="TE0",[5]guodubiaoge!$AS25,""))))</f>
        <v>-107.533101719275</v>
      </c>
      <c r="BO25">
        <f>IF(guodubiaoge!$B25="TE0+HF+6",[5]guodubiaoge!$AP25,
IF(guodubiaoge!$D25="TE0+HF+6",[5]guodubiaoge!$AQ25,
IF(guodubiaoge!$F25="TE0+HF+6",[5]guodubiaoge!$AR25,
IF(guodubiaoge!$H25="TE0+HF+6",[5]guodubiaoge!$AS25,""))))</f>
        <v>161.990850115385</v>
      </c>
      <c r="BP25" t="str">
        <f>IF(guodubiaoge!$B25="TE0+Sim+10",[5]guodubiaoge!$AP25,
IF(guodubiaoge!$D25="TE0+Sim+10",[5]guodubiaoge!$AQ25,
IF(guodubiaoge!$F25="TE0+Sim+10",[5]guodubiaoge!$AR25,
IF(guodubiaoge!$H25="TE0+Sim+10",[5]guodubiaoge!$AS25,""))))</f>
        <v/>
      </c>
      <c r="BQ25">
        <f>IF(guodubiaoge!$B25="TE0+SL+10",[5]guodubiaoge!$AP25,
IF(guodubiaoge!$D25="TE0+SL+10",[5]guodubiaoge!$AQ25,
IF(guodubiaoge!$F25="TE0+SL+10",[5]guodubiaoge!$AR25,
IF(guodubiaoge!$H25="TE0+SL+10",[5]guodubiaoge!$AS25,""))))</f>
        <v>-356.92377585876397</v>
      </c>
      <c r="BR25">
        <f t="shared" si="22"/>
        <v>-9.9534991464753017E-2</v>
      </c>
      <c r="BS25" s="26">
        <f t="shared" si="23"/>
        <v>0.24307944157969974</v>
      </c>
      <c r="BT25" s="26" t="str">
        <f t="shared" si="24"/>
        <v/>
      </c>
      <c r="BU25" s="26">
        <f t="shared" si="25"/>
        <v>-0.50827335744069013</v>
      </c>
      <c r="BV25" s="26">
        <f t="shared" si="26"/>
        <v>0.34472541943347251</v>
      </c>
      <c r="BW25">
        <f t="shared" si="27"/>
        <v>-0.42524731155342449</v>
      </c>
      <c r="BX25" t="str">
        <f t="shared" si="28"/>
        <v/>
      </c>
      <c r="BY25">
        <f t="shared" si="29"/>
        <v>1.7866709383450612</v>
      </c>
      <c r="BZ25">
        <f t="shared" si="30"/>
        <v>0.25859262513009756</v>
      </c>
      <c r="CA25">
        <f t="shared" si="31"/>
        <v>1.0117862669186797</v>
      </c>
      <c r="CB25" t="str">
        <f t="shared" si="32"/>
        <v/>
      </c>
      <c r="CC25">
        <f t="shared" si="33"/>
        <v>-2.8514056385795805</v>
      </c>
      <c r="CD25">
        <f t="shared" si="34"/>
        <v>-0.62730109906645859</v>
      </c>
      <c r="CE25">
        <f t="shared" si="35"/>
        <v>0.74087267568919879</v>
      </c>
      <c r="CF25" t="str">
        <f t="shared" si="36"/>
        <v/>
      </c>
      <c r="CG25">
        <f t="shared" si="37"/>
        <v>-1.750518440833889</v>
      </c>
      <c r="CH25">
        <f t="shared" si="38"/>
        <v>0.24519042796871948</v>
      </c>
      <c r="CI25">
        <f t="shared" si="39"/>
        <v>-0.18216786997372475</v>
      </c>
      <c r="CJ25" t="str">
        <f t="shared" si="40"/>
        <v/>
      </c>
      <c r="CK25">
        <f t="shared" si="41"/>
        <v>1.2783975809043711</v>
      </c>
      <c r="CL25">
        <f t="shared" si="42"/>
        <v>0.29288043968049515</v>
      </c>
      <c r="CM25">
        <f t="shared" si="43"/>
        <v>2.1292360608577345</v>
      </c>
      <c r="CN25" t="str">
        <f t="shared" si="44"/>
        <v/>
      </c>
      <c r="CO25">
        <f t="shared" si="45"/>
        <v>-5.605884871935368</v>
      </c>
      <c r="CP25">
        <f>IF(AA25="","",(AA25-AVERAGE($AA$2:AA$26))/_xlfn.STDEV.S($AA$2:$AA$26))</f>
        <v>3.4287814550397588E-2</v>
      </c>
      <c r="CQ25">
        <f>IF(L25="","",(L25-AVERAGE($L$2:L$26))/_xlfn.STDEV.S($L$2:$L$26))</f>
        <v>-0.4363166099967305</v>
      </c>
      <c r="CR25">
        <f t="shared" si="46"/>
        <v>-1.0636177090631891</v>
      </c>
      <c r="CS25">
        <f>IF(B25="","",(B25-AVERAGE($B$2:B$26))/_xlfn.STDEV.S($B$2:$B$26))</f>
        <v>-2.892695447390748E-2</v>
      </c>
      <c r="CT25">
        <f>IF(G25="","",(G25-AVERAGE($G$2:G$26))/_xlfn.STDEV.S($G$2:$G$26))</f>
        <v>1.2005391336712929</v>
      </c>
      <c r="CU25">
        <f t="shared" si="47"/>
        <v>1.1716121791973855</v>
      </c>
    </row>
    <row r="26" spans="1:99">
      <c r="A26">
        <v>25</v>
      </c>
      <c r="B26" s="21">
        <f>IF(guodubiaoge!$B26="Te0",[5]guodubiaoge!$C26,
IF(guodubiaoge!$D26="Te0",[5]guodubiaoge!$E26,
IF(guodubiaoge!$F26="Te0",[5]guodubiaoge!$G26,
IF(guodubiaoge!$H26="Te0",[5]guodubiaoge!$I26,""))))</f>
        <v>-6.0252779195599097E-4</v>
      </c>
      <c r="C26">
        <f>IF(guodubiaoge!$B26="Te0+HF+6",[5]guodubiaoge!$C26,
IF(guodubiaoge!$D26="Te0+HF+6",[5]guodubiaoge!$E26,
IF(guodubiaoge!$F26="Te0+HF+6",[5]guodubiaoge!$G26,
IF(guodubiaoge!$H26="Te0+HF+6",[5]guodubiaoge!$I26,""))))</f>
        <v>1.3069268218788901E-4</v>
      </c>
      <c r="D26">
        <f>IF(guodubiaoge!$B26="Te0+Sim+10",[5]guodubiaoge!$C26,
IF(guodubiaoge!$D26="Te0+Sim+10",[5]guodubiaoge!$E26,
IF(guodubiaoge!$F26="Te0+Sim+10",[5]guodubiaoge!$G26,
IF(guodubiaoge!$H26="Te0+Sim+10",[5]guodubiaoge!$I26,""))))</f>
        <v>-3.55379922236391E-4</v>
      </c>
      <c r="E26" t="str">
        <f>IF(guodubiaoge!$B26="Te0+SL+10",[5]guodubiaoge!$C26,
IF(guodubiaoge!$D26="Te0+SL+10",[5]guodubiaoge!$E26,
IF(guodubiaoge!$F26="Te0+SL+10",[5]guodubiaoge!$G26,
IF(guodubiaoge!$H26="Te0+SL+10",[5]guodubiaoge!$I26,""))))</f>
        <v/>
      </c>
      <c r="F26">
        <f>IF(guodubiaoge!$B26="Te0-10",[5]guodubiaoge!$C26,
IF(guodubiaoge!$D26="Te0-10",[5]guodubiaoge!$E26,
IF(guodubiaoge!$F26="Te0-10",[5]guodubiaoge!$G26,
IF(guodubiaoge!$H26="Te0-10",[5]guodubiaoge!$I26,""))))</f>
        <v>2.8048833978977001E-4</v>
      </c>
      <c r="G26">
        <f>IF(guodubiaoge!$B26="Te0",[5]guodubiaoge!$J26,
IF(guodubiaoge!$D26="Te0",[5]guodubiaoge!$K26,
IF(guodubiaoge!$F26="Te0",[5]guodubiaoge!$L26,
IF(guodubiaoge!$H26="Te0",[5]guodubiaoge!$M26,""))))</f>
        <v>9.0486111111111295E-2</v>
      </c>
      <c r="H26">
        <f>IF(guodubiaoge!$B26="Te0+HF+6",[5]guodubiaoge!$J26,
IF(guodubiaoge!$D26="Te0+HF+6",[5]guodubiaoge!$K26,
IF(guodubiaoge!$F26="Te0+HF+6",[5]guodubiaoge!$L26,
IF(guodubiaoge!$H26="Te0+HF+6",[5]guodubiaoge!$M26,""))))</f>
        <v>2.44497967785645E-2</v>
      </c>
      <c r="I26">
        <f>IF(guodubiaoge!$B26="Te0+Sim+10",[5]guodubiaoge!$J26,
IF(guodubiaoge!$D26="Te0+Sim+10",[5]guodubiaoge!$K26,
IF(guodubiaoge!$F26="Te0+Sim+10",[5]guodubiaoge!$L26,
IF(guodubiaoge!$H26="Te0+Sim+10",[5]guodubiaoge!$M26,""))))</f>
        <v>-7.0438795986623198E-2</v>
      </c>
      <c r="J26" t="str">
        <f>IF(guodubiaoge!$B26="Te0+SL+10",[5]guodubiaoge!$J26,
IF(guodubiaoge!$D26="Te0+SL+10",[5]guodubiaoge!$K26,
IF(guodubiaoge!$F26="Te0+SL+10",[5]guodubiaoge!$L26,
IF(guodubiaoge!$H26="Te0+SL+10",[5]guodubiaoge!$M26,""))))</f>
        <v/>
      </c>
      <c r="K26">
        <f>IF(guodubiaoge!$B26="Te0-10",[5]guodubiaoge!$J26,
IF(guodubiaoge!$D26="Te0-10",[5]guodubiaoge!$K26,
IF(guodubiaoge!$F26="Te0-10",[5]guodubiaoge!$L26,
IF(guodubiaoge!$H26="Te0-10",[5]guodubiaoge!$M26,""))))</f>
        <v>-1.8792756539234699E-2</v>
      </c>
      <c r="L26">
        <f>IF(guodubiaoge!$B26="Te0",[5]guodubiaoge!$N26,
IF(guodubiaoge!$D26="Te0",[5]guodubiaoge!$O26,
IF(guodubiaoge!$F26="Te0",[5]guodubiaoge!$P26,
IF(guodubiaoge!$H26="Te0",[5]guodubiaoge!$Q26,""))))</f>
        <v>39.548057196546303</v>
      </c>
      <c r="M26">
        <f>IF(guodubiaoge!$B26="Te0+HF+6",[5]guodubiaoge!$N26,
IF(guodubiaoge!$D26="Te0+HF+6",[5]guodubiaoge!$O26,
IF(guodubiaoge!$F26="Te0+HF+6",[5]guodubiaoge!$P26,
IF(guodubiaoge!$H26="Te0+HF+6",[5]guodubiaoge!$Q26,""))))</f>
        <v>-37.781623606114401</v>
      </c>
      <c r="N26">
        <f>IF(guodubiaoge!$B26="Te0+Sim+10",[5]guodubiaoge!$N26,
IF(guodubiaoge!$D26="Te0+Sim+10",[5]guodubiaoge!$O26,
IF(guodubiaoge!$F26="Te0+Sim+10",[5]guodubiaoge!$P26,
IF(guodubiaoge!$H26="Te0+Sim+10",[5]guodubiaoge!$Q26,""))))</f>
        <v>263.59610342958803</v>
      </c>
      <c r="O26" t="str">
        <f>IF(guodubiaoge!$B26="Te0+SL+10",[5]guodubiaoge!$N26,
IF(guodubiaoge!$D26="Te0+SL+10",[5]guodubiaoge!$O26,
IF(guodubiaoge!$F26="Te0+SL+10",[5]guodubiaoge!$P26,
IF(guodubiaoge!$H26="Te0+SL+10",[5]guodubiaoge!$Q26,""))))</f>
        <v/>
      </c>
      <c r="P26">
        <f>IF(guodubiaoge!$B26="Te0-10",[5]guodubiaoge!$N26,
IF(guodubiaoge!$D26="Te0-10",[5]guodubiaoge!$O26,
IF(guodubiaoge!$F26="Te0-10",[5]guodubiaoge!$P26,
IF(guodubiaoge!$H26="Te0-10",[5]guodubiaoge!$Q26,""))))</f>
        <v>42.767811404890402</v>
      </c>
      <c r="Q26">
        <f>IF(guodubiaoge!$B26="Te0",[5]guodubiaoge!$R26,
IF(guodubiaoge!$D26="Te0",[5]guodubiaoge!$S26,
IF(guodubiaoge!$F26="Te0",[5]guodubiaoge!$T26,
IF(guodubiaoge!$H26="Te0",[5]guodubiaoge!$U26,""))))</f>
        <v>6</v>
      </c>
      <c r="R26">
        <f>IF(guodubiaoge!$B26="Te0+HF+6",[5]guodubiaoge!$R26,
IF(guodubiaoge!$D26="Te0+HF+6",[5]guodubiaoge!$S26,
IF(guodubiaoge!$F26="Te0+HF+6",[5]guodubiaoge!$T26,
IF(guodubiaoge!$H26="Te0+HF+6",[5]guodubiaoge!$U26,""))))</f>
        <v>6</v>
      </c>
      <c r="S26">
        <f>IF(guodubiaoge!$B26="Te0+Sim+10",[5]guodubiaoge!$R26,
IF(guodubiaoge!$D26="Te0+Sim+10",[5]guodubiaoge!$S26,
IF(guodubiaoge!$F26="Te0+Sim+10",[5]guodubiaoge!$T26,
IF(guodubiaoge!$H26="Te0+Sim+10",[5]guodubiaoge!$U26,""))))</f>
        <v>6</v>
      </c>
      <c r="T26" t="str">
        <f>IF(guodubiaoge!$B26="Te0+SL+10",[5]guodubiaoge!$R26,
IF(guodubiaoge!$D26="Te0+SL+10",[5]guodubiaoge!$S26,
IF(guodubiaoge!$F26="Te0+SL+10",[5]guodubiaoge!$T26,
IF(guodubiaoge!$H26="Te0+SL+10",[5]guodubiaoge!$U26,""))))</f>
        <v/>
      </c>
      <c r="U26">
        <f>IF(guodubiaoge!$B26="Te0-10",[5]guodubiaoge!$R26,
IF(guodubiaoge!$D26="Te0-10",[5]guodubiaoge!$S26,
IF(guodubiaoge!$F26="Te0-10",[5]guodubiaoge!$T26,
IF(guodubiaoge!$H26="Te0-10",[5]guodubiaoge!$U26,""))))</f>
        <v>6</v>
      </c>
      <c r="V26">
        <f>IF(guodubiaoge!$B26="Te0",[5]guodubiaoge!$V26,
IF(guodubiaoge!$D26="Te0",[5]guodubiaoge!$W26,
IF(guodubiaoge!$F26="Te0",[5]guodubiaoge!$X26,
IF(guodubiaoge!$H26="Te0",[5]guodubiaoge!$Y26,""))))</f>
        <v>8</v>
      </c>
      <c r="W26">
        <f>IF(guodubiaoge!$B26="Te0+HF+6",[5]guodubiaoge!$V26,
IF(guodubiaoge!$D26="Te0+HF+6",[5]guodubiaoge!$W26,
IF(guodubiaoge!$F26="Te0+HF+6",[5]guodubiaoge!$X26,
IF(guodubiaoge!$H26="Te0+HF+6",[5]guodubiaoge!$Y26,""))))</f>
        <v>5</v>
      </c>
      <c r="X26">
        <f>IF(guodubiaoge!$B26="Te0+Sim+10",[5]guodubiaoge!$V26,
IF(guodubiaoge!$D26="Te0+Sim+10",[5]guodubiaoge!$W26,
IF(guodubiaoge!$F26="Te0+Sim+10",[5]guodubiaoge!$X26,
IF(guodubiaoge!$H26="Te0+Sim+10",[5]guodubiaoge!$Y26,""))))</f>
        <v>8</v>
      </c>
      <c r="Y26" t="str">
        <f>IF(guodubiaoge!$B26="Te0+SL+10",[5]guodubiaoge!$U26,
IF(guodubiaoge!$D26="Te0+SL+10",[5]guodubiaoge!$W26,
IF(guodubiaoge!$F26="Te0+SL+10",[5]guodubiaoge!$X26,
IF(guodubiaoge!$H26="Te0+SL+10",[5]guodubiaoge!$Y26,""))))</f>
        <v/>
      </c>
      <c r="Z26">
        <f>IF(guodubiaoge!$B26="Te0-10",[5]guodubiaoge!$U26,
IF(guodubiaoge!$D26="Te0-10",[5]guodubiaoge!$W26,
IF(guodubiaoge!$F26="Te0-10",[5]guodubiaoge!$X26,
IF(guodubiaoge!$H26="Te0-10",[5]guodubiaoge!$Y26,""))))</f>
        <v>8</v>
      </c>
      <c r="AA26">
        <f>IF(guodubiaoge!$B26="Te0",[5]guodubiaoge!$Z26,
IF(guodubiaoge!$D26="Te0",[5]guodubiaoge!$AA26,
IF(guodubiaoge!$F26="Te0",[5]guodubiaoge!$AB26,
IF(guodubiaoge!$H26="Te0",[5]guodubiaoge!$AC26,""))))</f>
        <v>-36.509614283644801</v>
      </c>
      <c r="AB26">
        <f>IF(guodubiaoge!$B26="Te0+HF+6",[5]guodubiaoge!$Z26,
IF(guodubiaoge!$D26="Te0+HF+6",[5]guodubiaoge!$AA26,
IF(guodubiaoge!$F26="Te0+HF+6",[5]guodubiaoge!$AB26,
IF(guodubiaoge!$H26="Te0+HF+6",[5]guodubiaoge!$AC26,""))))</f>
        <v>-57.302572646353298</v>
      </c>
      <c r="AC26">
        <f>IF(guodubiaoge!$B26="Te0+Sim+10",[5]guodubiaoge!$Z26,
IF(guodubiaoge!$D26="Te0+Sim+10",[5]guodubiaoge!$AA26,
IF(guodubiaoge!$F26="Te0+Sim+10",[5]guodubiaoge!$AB26,
IF(guodubiaoge!$H26="Te0+Sim+10",[5]guodubiaoge!$AC26,""))))</f>
        <v>295.41321701908498</v>
      </c>
      <c r="AD26" t="str">
        <f>IF(guodubiaoge!$B26="Te0+SL+10",[5]guodubiaoge!$Z26,
IF(guodubiaoge!$D26="Te0+SL+10",[5]guodubiaoge!$AA26,
IF(guodubiaoge!$F26="Te0+SL+10",[5]guodubiaoge!$AB26,
IF(guodubiaoge!$H26="Te0+SL+10",[5]guodubiaoge!$AC26,""))))</f>
        <v/>
      </c>
      <c r="AE26">
        <f>IF(guodubiaoge!$B26="Te0-10",[5]guodubiaoge!$Z26,
IF(guodubiaoge!$D26="Te0-10",[5]guodubiaoge!$AA26,
IF(guodubiaoge!$F26="Te0-10",[5]guodubiaoge!$AB26,
IF(guodubiaoge!$H26="Te0-10",[5]guodubiaoge!$AC26,""))))</f>
        <v>-388.90872965260098</v>
      </c>
      <c r="AF26">
        <f t="shared" si="0"/>
        <v>-0.20190745302293286</v>
      </c>
      <c r="AG26">
        <f t="shared" si="1"/>
        <v>0.11053978705811265</v>
      </c>
      <c r="AH26" t="str">
        <f t="shared" si="2"/>
        <v/>
      </c>
      <c r="AI26">
        <f t="shared" si="3"/>
        <v>1.0088453976569769</v>
      </c>
      <c r="AJ26">
        <f t="shared" si="4"/>
        <v>-0.23502453141762267</v>
      </c>
      <c r="AK26" t="str">
        <f t="shared" si="5"/>
        <v/>
      </c>
      <c r="AL26">
        <f t="shared" si="6"/>
        <v>0.806937944634044</v>
      </c>
      <c r="AM26">
        <f t="shared" si="7"/>
        <v>-0.12448474435951001</v>
      </c>
      <c r="AN26" t="str">
        <f t="shared" si="8"/>
        <v/>
      </c>
      <c r="AO26">
        <f t="shared" si="9"/>
        <v>-0.21410580850955926</v>
      </c>
      <c r="AP26">
        <f t="shared" si="10"/>
        <v>0.32341352144908536</v>
      </c>
      <c r="AQ26" t="str">
        <f t="shared" si="11"/>
        <v/>
      </c>
      <c r="AR26">
        <f t="shared" si="12"/>
        <v>-0.39931935513013483</v>
      </c>
      <c r="AS26">
        <f t="shared" si="13"/>
        <v>2.8400264093978245</v>
      </c>
      <c r="AT26" t="str">
        <f t="shared" si="14"/>
        <v/>
      </c>
      <c r="AU26">
        <f t="shared" si="15"/>
        <v>-0.43729912113016556</v>
      </c>
      <c r="AV26">
        <f t="shared" si="16"/>
        <v>1.0381934163987587</v>
      </c>
      <c r="AW26" t="str">
        <f t="shared" si="17"/>
        <v/>
      </c>
      <c r="AX26" s="21">
        <f t="shared" si="18"/>
        <v>-6.6587875703501553E-3</v>
      </c>
      <c r="AY26">
        <f t="shared" si="19"/>
        <v>5.3453484039781155E-3</v>
      </c>
      <c r="AZ26">
        <f t="shared" si="20"/>
        <v>5.0452299369779128E-3</v>
      </c>
      <c r="BA26" t="str">
        <f t="shared" si="21"/>
        <v/>
      </c>
      <c r="BB26">
        <f>IF(guodubiaoge!$B26="TE0",[5]guodubiaoge!$AD26,
IF(guodubiaoge!$D26="TE0",[5]guodubiaoge!$AE26,
IF(guodubiaoge!$F26="TE0",[5]guodubiaoge!$AF26,
IF(guodubiaoge!$H26="TE0",[5]guodubiaoge!$AG26,""))))</f>
        <v>-2.0145733982845598E-3</v>
      </c>
      <c r="BC26">
        <f>IF(guodubiaoge!$B26="TE0+HF+6",[5]guodubiaoge!$AD26,
IF(guodubiaoge!$D26="TE0+HF+6",[5]guodubiaoge!$AE26,
IF(guodubiaoge!$F26="TE0+HF+6",[5]guodubiaoge!$AF26,
IF(guodubiaoge!$H26="TE0+HF+6",[5]guodubiaoge!$AG26,""))))</f>
        <v>-3.8638713187323002E-3</v>
      </c>
      <c r="BD26">
        <f>IF(guodubiaoge!$B26="TE0+Sim+10",[5]guodubiaoge!$AD26,
IF(guodubiaoge!$D26="TE0+Sim+10",[5]guodubiaoge!$AE26,
IF(guodubiaoge!$F26="TE0+Sim+10",[5]guodubiaoge!$AF26,
IF(guodubiaoge!$H26="TE0+Sim+10",[5]guodubiaoge!$AG26,""))))</f>
        <v>-2.9074390710238001E-3</v>
      </c>
      <c r="BE26" t="str">
        <f>IF(guodubiaoge!$B26="TE0+SL+10",[5]guodubiaoge!$AD26,
IF(guodubiaoge!$D26="TE0+SL+10",[5]guodubiaoge!$AE26,
IF(guodubiaoge!$F26="TE0+SL+10",[5]guodubiaoge!$AF26,
IF(guodubiaoge!$H26="TE0+SL+10",[5]guodubiaoge!$AG26,""))))</f>
        <v/>
      </c>
      <c r="BF26">
        <f>IF(guodubiaoge!$B26="TE0",[5]guodubiaoge!$AH26,
IF(guodubiaoge!$D26="TE0",[5]guodubiaoge!$AI26,
IF(guodubiaoge!$F26="TE0",[5]guodubiaoge!$AJ26,
IF(guodubiaoge!$H26="TE0",[5]guodubiaoge!$AK26,""))))</f>
        <v>1.6072674418604601E-2</v>
      </c>
      <c r="BG26">
        <f>IF(guodubiaoge!$B26="TE0+HF+6",[5]guodubiaoge!$AH26,
IF(guodubiaoge!$D26="TE0+HF+6",[5]guodubiaoge!$AI26,
IF(guodubiaoge!$F26="TE0+HF+6",[5]guodubiaoge!$AJ26,
IF(guodubiaoge!$H26="TE0+HF+6",[5]guodubiaoge!$AK26,""))))</f>
        <v>-9.2141176470594797E-3</v>
      </c>
      <c r="BH26">
        <f>IF(guodubiaoge!$B26="TE0+Sim+10",[5]guodubiaoge!$AH26,
IF(guodubiaoge!$D26="TE0+Sim+10",[5]guodubiaoge!$AI26,
IF(guodubiaoge!$F26="TE0+Sim+10",[5]guodubiaoge!$AJ26,
IF(guodubiaoge!$H26="TE0+Sim+10",[5]guodubiaoge!$AK26,""))))</f>
        <v>-8.9234567901226303E-3</v>
      </c>
      <c r="BI26" t="str">
        <f>IF(guodubiaoge!$B26="TE0+SL+10",[5]guodubiaoge!$AH26,
IF(guodubiaoge!$D26="TE0+SL+10",[5]guodubiaoge!$AI26,
IF(guodubiaoge!$F26="TE0+SL+10",[5]guodubiaoge!$AJ26,
IF(guodubiaoge!$H26="TE0+SL+10",[5]guodubiaoge!$AK26,""))))</f>
        <v/>
      </c>
      <c r="BJ26">
        <f>IF(guodubiaoge!$B26="TE0",[5]guodubiaoge!$AL26,
IF(guodubiaoge!$D26="TE0",[5]guodubiaoge!$AM26,
IF(guodubiaoge!$F26="TE0",[5]guodubiaoge!$AN26,
IF(guodubiaoge!$H26="TE0",[5]guodubiaoge!$AO26,""))))</f>
        <v>-87.817778760065707</v>
      </c>
      <c r="BK26">
        <f>IF(guodubiaoge!$B26="TE0+HF+6",[5]guodubiaoge!$AL26,
IF(guodubiaoge!$D26="TE0+HF+6",[5]guodubiaoge!$AM26,
IF(guodubiaoge!$F26="TE0+HF+6",[5]guodubiaoge!$AN26,
IF(guodubiaoge!$H26="TE0+HF+6",[5]guodubiaoge!$AO26,""))))</f>
        <v>-75.7352230297099</v>
      </c>
      <c r="BL26">
        <f>IF(guodubiaoge!$B26="TE0+Sim+10",[5]guodubiaoge!$AL26,
IF(guodubiaoge!$D26="TE0+Sim+10",[5]guodubiaoge!$AM26,
IF(guodubiaoge!$F26="TE0+Sim+10",[5]guodubiaoge!$AN26,
IF(guodubiaoge!$H26="TE0+Sim+10",[5]guodubiaoge!$AO26,""))))</f>
        <v>-228.762821654719</v>
      </c>
      <c r="BM26" t="str">
        <f>IF(guodubiaoge!$B26="TE0+SL+10",[5]guodubiaoge!$AL26,
IF(guodubiaoge!$D26="TE0+SL+10",[5]guodubiaoge!$AM26,
IF(guodubiaoge!$F26="TE0+SL+10",[5]guodubiaoge!$AN26,
IF(guodubiaoge!$H26="TE0+SL+10",[5]guodubiaoge!$AO26,""))))</f>
        <v/>
      </c>
      <c r="BN26">
        <f>IF(guodubiaoge!$B26="TE0",[5]guodubiaoge!$AP26,
IF(guodubiaoge!$D26="TE0",[5]guodubiaoge!$AQ26,
IF(guodubiaoge!$F26="TE0",[5]guodubiaoge!$AR26,
IF(guodubiaoge!$H26="TE0",[5]guodubiaoge!$AS26,""))))</f>
        <v>43.753600219798699</v>
      </c>
      <c r="BO26">
        <f>IF(guodubiaoge!$B26="TE0+HF+6",[5]guodubiaoge!$AP26,
IF(guodubiaoge!$D26="TE0+HF+6",[5]guodubiaoge!$AQ26,
IF(guodubiaoge!$F26="TE0+HF+6",[5]guodubiaoge!$AR26,
IF(guodubiaoge!$H26="TE0+HF+6",[5]guodubiaoge!$AS26,""))))</f>
        <v>-16.908235332040501</v>
      </c>
      <c r="BP26">
        <f>IF(guodubiaoge!$B26="TE0+Sim+10",[5]guodubiaoge!$AP26,
IF(guodubiaoge!$D26="TE0+Sim+10",[5]guodubiaoge!$AQ26,
IF(guodubiaoge!$F26="TE0+Sim+10",[5]guodubiaoge!$AR26,
IF(guodubiaoge!$H26="TE0+Sim+10",[5]guodubiaoge!$AS26,""))))</f>
        <v>119.28996500454799</v>
      </c>
      <c r="BQ26" t="str">
        <f>IF(guodubiaoge!$B26="TE0+SL+10",[5]guodubiaoge!$AP26,
IF(guodubiaoge!$D26="TE0+SL+10",[5]guodubiaoge!$AQ26,
IF(guodubiaoge!$F26="TE0+SL+10",[5]guodubiaoge!$AR26,
IF(guodubiaoge!$H26="TE0+SL+10",[5]guodubiaoge!$AS26,""))))</f>
        <v/>
      </c>
      <c r="BR26">
        <f t="shared" si="22"/>
        <v>-8.2196555075207151E-2</v>
      </c>
      <c r="BS26" s="26">
        <f t="shared" si="23"/>
        <v>-0.2872297897889069</v>
      </c>
      <c r="BT26" s="26">
        <f t="shared" si="24"/>
        <v>-0.30895124246681055</v>
      </c>
      <c r="BU26" s="26" t="str">
        <f t="shared" si="25"/>
        <v/>
      </c>
      <c r="BV26" s="26">
        <f t="shared" si="26"/>
        <v>0.34917730140493414</v>
      </c>
      <c r="BW26">
        <f t="shared" si="27"/>
        <v>-0.1356723077911334</v>
      </c>
      <c r="BX26">
        <f t="shared" si="28"/>
        <v>0.40694366544921018</v>
      </c>
      <c r="BY26" t="str">
        <f>IF(BI26="","",(BI26-AVERAGE($BI$2:$BI$26))/_xlfn.STDEV.S($BI$2:$BI$26))</f>
        <v/>
      </c>
      <c r="BZ26">
        <f t="shared" si="30"/>
        <v>-0.19961624955831669</v>
      </c>
      <c r="CA26">
        <f t="shared" si="31"/>
        <v>-0.39037869989027824</v>
      </c>
      <c r="CB26">
        <f t="shared" si="32"/>
        <v>-2.4064646626226898</v>
      </c>
      <c r="CC26" t="str">
        <f t="shared" si="33"/>
        <v/>
      </c>
      <c r="CD26">
        <f t="shared" si="34"/>
        <v>0.3396237948781809</v>
      </c>
      <c r="CE26">
        <f t="shared" si="35"/>
        <v>-0.22319331262060629</v>
      </c>
      <c r="CF26">
        <f t="shared" si="36"/>
        <v>0.71477989494967331</v>
      </c>
      <c r="CG26" t="str">
        <f t="shared" si="37"/>
        <v/>
      </c>
      <c r="CH26">
        <f t="shared" si="38"/>
        <v>0.26698074632972701</v>
      </c>
      <c r="CI26">
        <f t="shared" si="39"/>
        <v>-0.42290209758004027</v>
      </c>
      <c r="CJ26">
        <f t="shared" si="40"/>
        <v>9.799242298239963E-2</v>
      </c>
      <c r="CK26" t="str">
        <f t="shared" si="41"/>
        <v/>
      </c>
      <c r="CL26">
        <f t="shared" si="42"/>
        <v>-0.29458239202828118</v>
      </c>
      <c r="CM26">
        <f t="shared" si="43"/>
        <v>-0.78969805502041313</v>
      </c>
      <c r="CN26">
        <f t="shared" si="44"/>
        <v>0.4335617467751347</v>
      </c>
      <c r="CO26" t="str">
        <f t="shared" si="45"/>
        <v/>
      </c>
      <c r="CP26">
        <f>IF(AA26="","",(AA26-AVERAGE($AA$2:AA$26))/_xlfn.STDEV.S($AA$2:$AA$26))</f>
        <v>-9.4966142469964474E-2</v>
      </c>
      <c r="CQ26">
        <f>IF(L26="","",(L26-AVERAGE($L$2:L$26))/_xlfn.STDEV.S($L$2:$L$26))</f>
        <v>0.35307956542055663</v>
      </c>
      <c r="CR26">
        <f t="shared" si="46"/>
        <v>0.69270336029873758</v>
      </c>
      <c r="CS26">
        <f>IF(B26="","",(B26-AVERAGE($B$2:B$26))/_xlfn.STDEV.S($B$2:$B$26))</f>
        <v>-0.13957674368732459</v>
      </c>
      <c r="CT26">
        <f>IF(G26="","",(G26-AVERAGE($G$2:G$26))/_xlfn.STDEV.S($G$2:$G$26))</f>
        <v>0.96677332026890817</v>
      </c>
      <c r="CU26">
        <f t="shared" si="47"/>
        <v>0.82719657658158363</v>
      </c>
    </row>
    <row r="27" spans="1:99">
      <c r="BV27" s="26"/>
      <c r="BX27" t="str">
        <f>IF(BH27="","",(BH27-AVERAGE($BH$2:$BH$26))/_xlfn.STDEV.S($BH$2:$BH$26))</f>
        <v/>
      </c>
      <c r="BY27" t="str">
        <f t="shared" si="29"/>
        <v/>
      </c>
    </row>
    <row r="29" spans="1:99">
      <c r="AC29" t="s">
        <v>755</v>
      </c>
    </row>
  </sheetData>
  <phoneticPr fontId="4"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7EB66-00D2-449A-833F-C334F597E34E}">
  <dimension ref="A1:J50"/>
  <sheetViews>
    <sheetView tabSelected="1" workbookViewId="0">
      <selection activeCell="J5" sqref="J5"/>
    </sheetView>
  </sheetViews>
  <sheetFormatPr defaultRowHeight="14.25"/>
  <cols>
    <col min="2" max="2" width="15.75" customWidth="1"/>
    <col min="3" max="3" width="16.75" customWidth="1"/>
    <col min="4" max="6" width="15" style="31" customWidth="1"/>
    <col min="7" max="7" width="18.625" style="31" customWidth="1"/>
  </cols>
  <sheetData>
    <row r="1" spans="1:10">
      <c r="A1" s="31" t="s">
        <v>887</v>
      </c>
      <c r="B1" s="31" t="s">
        <v>888</v>
      </c>
      <c r="C1" s="26" t="s">
        <v>980</v>
      </c>
      <c r="D1" s="31" t="s">
        <v>889</v>
      </c>
      <c r="E1" s="31" t="s">
        <v>890</v>
      </c>
      <c r="F1" s="31" t="s">
        <v>891</v>
      </c>
      <c r="G1" s="31" t="s">
        <v>892</v>
      </c>
    </row>
    <row r="2" spans="1:10">
      <c r="A2" s="31">
        <v>1</v>
      </c>
      <c r="B2" s="31">
        <v>7</v>
      </c>
      <c r="C2">
        <v>7</v>
      </c>
      <c r="D2" s="31">
        <v>-0.69403638257567302</v>
      </c>
      <c r="E2" s="31">
        <v>-0.121839111037706</v>
      </c>
      <c r="F2" s="32" t="s">
        <v>893</v>
      </c>
      <c r="G2" s="31">
        <v>-0.77301171294695203</v>
      </c>
      <c r="J2" t="s">
        <v>981</v>
      </c>
    </row>
    <row r="3" spans="1:10">
      <c r="A3" s="31">
        <v>1</v>
      </c>
      <c r="B3" s="31">
        <v>7</v>
      </c>
      <c r="C3">
        <v>7</v>
      </c>
      <c r="D3" s="31">
        <v>-1.02441525052819</v>
      </c>
      <c r="E3" s="32" t="s">
        <v>894</v>
      </c>
      <c r="F3" s="32" t="s">
        <v>895</v>
      </c>
      <c r="G3" s="31">
        <v>-0.94916180909175496</v>
      </c>
      <c r="J3" t="s">
        <v>982</v>
      </c>
    </row>
    <row r="4" spans="1:10">
      <c r="A4" s="31">
        <v>1</v>
      </c>
      <c r="B4" s="31">
        <v>6</v>
      </c>
      <c r="C4">
        <v>6</v>
      </c>
      <c r="D4" s="31">
        <v>-0.41190222848433999</v>
      </c>
      <c r="E4" s="32" t="s">
        <v>896</v>
      </c>
      <c r="F4" s="31">
        <v>-0.774871826474966</v>
      </c>
      <c r="G4" s="31">
        <v>-2.1478448295126702</v>
      </c>
      <c r="J4" t="s">
        <v>983</v>
      </c>
    </row>
    <row r="5" spans="1:10">
      <c r="A5" s="31">
        <v>1</v>
      </c>
      <c r="B5" s="31">
        <v>8</v>
      </c>
      <c r="C5">
        <v>8</v>
      </c>
      <c r="D5" s="31">
        <v>-1.0188899489897201</v>
      </c>
      <c r="E5" s="32" t="s">
        <v>897</v>
      </c>
      <c r="F5" s="31">
        <v>-1.4026724578304699</v>
      </c>
      <c r="G5" s="31">
        <v>-1.00810525180637</v>
      </c>
    </row>
    <row r="6" spans="1:10">
      <c r="A6" s="31">
        <v>1</v>
      </c>
      <c r="B6" s="31">
        <v>5</v>
      </c>
      <c r="C6">
        <v>5</v>
      </c>
      <c r="D6" s="32" t="s">
        <v>898</v>
      </c>
      <c r="E6" s="31">
        <v>-0.246186938244496</v>
      </c>
      <c r="F6" s="32" t="s">
        <v>899</v>
      </c>
      <c r="G6" s="32" t="s">
        <v>900</v>
      </c>
    </row>
    <row r="7" spans="1:10">
      <c r="A7" s="31">
        <v>1</v>
      </c>
      <c r="B7" s="31">
        <v>6</v>
      </c>
      <c r="C7">
        <v>6</v>
      </c>
      <c r="D7" s="31">
        <v>-1.85608422661498</v>
      </c>
      <c r="E7" s="31">
        <v>-0.34910368426541599</v>
      </c>
      <c r="F7" s="32" t="s">
        <v>901</v>
      </c>
      <c r="G7" s="31">
        <v>-0.18088155322646601</v>
      </c>
    </row>
    <row r="8" spans="1:10">
      <c r="A8" s="31">
        <v>1</v>
      </c>
      <c r="B8" s="31">
        <v>6</v>
      </c>
      <c r="C8">
        <v>6</v>
      </c>
      <c r="D8" s="32" t="s">
        <v>902</v>
      </c>
      <c r="E8" s="31">
        <v>-0.42781556860989101</v>
      </c>
      <c r="F8" s="32" t="s">
        <v>903</v>
      </c>
      <c r="G8" s="31">
        <v>-0.22774482467874499</v>
      </c>
    </row>
    <row r="9" spans="1:10">
      <c r="A9" s="31">
        <v>1</v>
      </c>
      <c r="B9" s="31">
        <v>6</v>
      </c>
      <c r="C9">
        <v>6</v>
      </c>
      <c r="D9" s="31">
        <v>-1.3710389941793999</v>
      </c>
      <c r="E9" s="31">
        <v>-0.32428595743675998</v>
      </c>
      <c r="F9" s="32" t="s">
        <v>904</v>
      </c>
      <c r="G9" s="31">
        <v>-0.23410288705947199</v>
      </c>
    </row>
    <row r="10" spans="1:10">
      <c r="A10" s="31">
        <v>1</v>
      </c>
      <c r="B10" s="31">
        <v>8</v>
      </c>
      <c r="C10">
        <v>8</v>
      </c>
      <c r="D10" s="32" t="s">
        <v>905</v>
      </c>
      <c r="E10" s="31">
        <v>-0.20738110964737599</v>
      </c>
      <c r="F10" s="31">
        <v>-0.66266507221067605</v>
      </c>
      <c r="G10" s="31">
        <v>-1.3596857689161199</v>
      </c>
    </row>
    <row r="11" spans="1:10">
      <c r="A11" s="31">
        <v>1</v>
      </c>
      <c r="B11" s="31">
        <v>5</v>
      </c>
      <c r="C11">
        <v>5</v>
      </c>
      <c r="D11" s="32" t="s">
        <v>906</v>
      </c>
      <c r="E11" s="32" t="s">
        <v>907</v>
      </c>
      <c r="F11" s="32" t="s">
        <v>908</v>
      </c>
      <c r="G11" s="32" t="s">
        <v>909</v>
      </c>
    </row>
    <row r="12" spans="1:10">
      <c r="A12" s="31">
        <v>1</v>
      </c>
      <c r="B12" s="31">
        <v>5</v>
      </c>
      <c r="C12">
        <v>5</v>
      </c>
      <c r="D12" s="32" t="s">
        <v>910</v>
      </c>
      <c r="E12" s="31">
        <v>-0.69732115739876399</v>
      </c>
      <c r="F12" s="32" t="s">
        <v>911</v>
      </c>
      <c r="G12" s="31">
        <v>-0.26563447287938302</v>
      </c>
    </row>
    <row r="13" spans="1:10">
      <c r="A13" s="31">
        <v>1</v>
      </c>
      <c r="B13" s="31">
        <v>7</v>
      </c>
      <c r="C13">
        <v>7</v>
      </c>
      <c r="D13" s="31">
        <v>-1.43501157869302</v>
      </c>
      <c r="E13" s="32" t="s">
        <v>912</v>
      </c>
      <c r="F13" s="32" t="s">
        <v>913</v>
      </c>
      <c r="G13" s="32" t="s">
        <v>914</v>
      </c>
    </row>
    <row r="14" spans="1:10">
      <c r="A14" s="31">
        <v>1</v>
      </c>
      <c r="B14" s="31">
        <v>7</v>
      </c>
      <c r="C14">
        <v>7</v>
      </c>
      <c r="D14" s="32" t="s">
        <v>915</v>
      </c>
      <c r="E14" s="32" t="s">
        <v>916</v>
      </c>
      <c r="F14" s="31">
        <v>-0.15700624745106601</v>
      </c>
      <c r="G14" s="31">
        <v>-0.10375200551793901</v>
      </c>
    </row>
    <row r="15" spans="1:10">
      <c r="A15" s="31">
        <v>1</v>
      </c>
      <c r="B15" s="31">
        <v>7</v>
      </c>
      <c r="C15">
        <v>7</v>
      </c>
      <c r="D15" s="31">
        <v>-0.120568980844492</v>
      </c>
      <c r="E15" s="31">
        <v>-0.193683838037395</v>
      </c>
      <c r="F15" s="31">
        <v>-3.0253190315209202</v>
      </c>
      <c r="G15" s="31">
        <v>-0.61377236612297204</v>
      </c>
    </row>
    <row r="16" spans="1:10">
      <c r="A16" s="31">
        <v>1</v>
      </c>
      <c r="B16" s="31">
        <v>7</v>
      </c>
      <c r="C16">
        <v>7</v>
      </c>
      <c r="D16" s="31">
        <v>-0.77722709183293803</v>
      </c>
      <c r="E16" s="31">
        <v>-0.41512338719019998</v>
      </c>
      <c r="F16" s="31">
        <v>-5.4932068722171996</v>
      </c>
      <c r="G16" s="31">
        <v>-0.15015113626413701</v>
      </c>
    </row>
    <row r="17" spans="1:7">
      <c r="A17" s="31">
        <v>1</v>
      </c>
      <c r="B17" s="31">
        <v>6</v>
      </c>
      <c r="C17">
        <v>6</v>
      </c>
      <c r="D17" s="32" t="s">
        <v>917</v>
      </c>
      <c r="E17" s="31">
        <v>-6.0750711709074503</v>
      </c>
      <c r="F17" s="32" t="s">
        <v>918</v>
      </c>
      <c r="G17" s="31">
        <v>-6.4430767495180993E-2</v>
      </c>
    </row>
    <row r="18" spans="1:7">
      <c r="A18" s="31">
        <v>1</v>
      </c>
      <c r="B18" s="31">
        <v>7</v>
      </c>
      <c r="C18">
        <v>7</v>
      </c>
      <c r="D18" s="31">
        <v>-1.3434941321559599</v>
      </c>
      <c r="E18" s="32" t="s">
        <v>919</v>
      </c>
      <c r="F18" s="32" t="s">
        <v>920</v>
      </c>
      <c r="G18" s="31">
        <v>-0.69087411733668203</v>
      </c>
    </row>
    <row r="19" spans="1:7">
      <c r="A19" s="31">
        <v>1</v>
      </c>
      <c r="B19" s="31">
        <v>2</v>
      </c>
      <c r="C19">
        <v>2</v>
      </c>
      <c r="D19" s="32" t="s">
        <v>921</v>
      </c>
      <c r="E19" s="31">
        <v>-1.8797297357345499</v>
      </c>
      <c r="F19" s="31">
        <v>-0.95165849580444595</v>
      </c>
      <c r="G19" s="32" t="s">
        <v>922</v>
      </c>
    </row>
    <row r="20" spans="1:7">
      <c r="A20" s="31">
        <v>1</v>
      </c>
      <c r="B20" s="31">
        <v>2</v>
      </c>
      <c r="C20">
        <v>2</v>
      </c>
      <c r="D20" s="31">
        <v>-1.7557761369160101</v>
      </c>
      <c r="E20" s="31">
        <v>-0.158516645833291</v>
      </c>
      <c r="F20" s="32" t="s">
        <v>923</v>
      </c>
      <c r="G20" s="31">
        <v>-0.54468243623052603</v>
      </c>
    </row>
    <row r="21" spans="1:7">
      <c r="A21" s="31">
        <v>1</v>
      </c>
      <c r="B21" s="31">
        <v>6</v>
      </c>
      <c r="C21">
        <v>6</v>
      </c>
      <c r="D21" s="32" t="s">
        <v>924</v>
      </c>
      <c r="E21" s="31">
        <v>-3.6594706573469998E-2</v>
      </c>
      <c r="F21" s="31">
        <v>-1.29658852999216</v>
      </c>
      <c r="G21" s="31">
        <v>-0.29162479397167601</v>
      </c>
    </row>
    <row r="22" spans="1:7">
      <c r="A22" s="31">
        <v>1</v>
      </c>
      <c r="B22" s="31">
        <v>8</v>
      </c>
      <c r="C22">
        <v>8</v>
      </c>
      <c r="D22" s="31">
        <v>-0.96623898471941005</v>
      </c>
      <c r="E22" s="31">
        <v>-1.094170311987E-2</v>
      </c>
      <c r="F22" s="31">
        <v>-0.227518827663934</v>
      </c>
      <c r="G22" s="31">
        <v>-1.3080541030489E-2</v>
      </c>
    </row>
    <row r="23" spans="1:7">
      <c r="A23" s="31">
        <v>1</v>
      </c>
      <c r="B23" s="31">
        <v>8</v>
      </c>
      <c r="C23">
        <v>8</v>
      </c>
      <c r="D23" s="32" t="s">
        <v>925</v>
      </c>
      <c r="E23" s="31">
        <v>-2.21518298233133</v>
      </c>
      <c r="F23" s="32" t="s">
        <v>926</v>
      </c>
      <c r="G23" s="31">
        <v>-2.7357418732781098</v>
      </c>
    </row>
    <row r="24" spans="1:7">
      <c r="A24" s="31">
        <v>1</v>
      </c>
      <c r="B24" s="31">
        <v>7</v>
      </c>
      <c r="C24">
        <v>7</v>
      </c>
      <c r="D24" s="32" t="s">
        <v>927</v>
      </c>
      <c r="E24" s="31">
        <v>-0.23590980013358101</v>
      </c>
      <c r="F24" s="31">
        <v>-0.124683565067177</v>
      </c>
      <c r="G24" s="31">
        <v>-0.26764432569771901</v>
      </c>
    </row>
    <row r="25" spans="1:7">
      <c r="A25" s="31">
        <v>1</v>
      </c>
      <c r="B25" s="31">
        <v>3</v>
      </c>
      <c r="C25">
        <v>3</v>
      </c>
      <c r="D25" s="31">
        <v>-0.307386846470032</v>
      </c>
      <c r="E25" s="32" t="s">
        <v>928</v>
      </c>
      <c r="F25" s="31">
        <v>-0.182167869973724</v>
      </c>
      <c r="G25" s="32" t="s">
        <v>929</v>
      </c>
    </row>
    <row r="26" spans="1:7">
      <c r="A26" s="31">
        <v>1</v>
      </c>
      <c r="B26" s="31">
        <v>5</v>
      </c>
      <c r="C26">
        <v>5</v>
      </c>
      <c r="D26" s="32" t="s">
        <v>930</v>
      </c>
      <c r="E26" s="31">
        <v>-0.437299121130166</v>
      </c>
      <c r="F26" s="31">
        <v>-0.42290209758004099</v>
      </c>
      <c r="G26" s="31">
        <v>-0.78969805502041301</v>
      </c>
    </row>
    <row r="27" spans="1:7">
      <c r="A27" s="31">
        <v>2</v>
      </c>
      <c r="B27" s="31">
        <v>6</v>
      </c>
      <c r="C27">
        <v>6</v>
      </c>
      <c r="D27" s="32" t="s">
        <v>931</v>
      </c>
      <c r="E27" s="32" t="s">
        <v>932</v>
      </c>
      <c r="F27" s="32" t="s">
        <v>933</v>
      </c>
      <c r="G27" s="32" t="s">
        <v>934</v>
      </c>
    </row>
    <row r="28" spans="1:7">
      <c r="A28" s="31">
        <v>2</v>
      </c>
      <c r="B28" s="31">
        <v>0</v>
      </c>
      <c r="C28">
        <v>0</v>
      </c>
      <c r="D28" s="32" t="s">
        <v>935</v>
      </c>
      <c r="E28" s="32" t="s">
        <v>936</v>
      </c>
      <c r="F28" s="31">
        <v>-2.9456831928708</v>
      </c>
      <c r="G28" s="31">
        <v>-0.17202479683085301</v>
      </c>
    </row>
    <row r="29" spans="1:7">
      <c r="A29" s="31">
        <v>2</v>
      </c>
      <c r="B29" s="31">
        <v>6</v>
      </c>
      <c r="C29">
        <v>6</v>
      </c>
      <c r="D29" s="31">
        <v>-0.19032045038957501</v>
      </c>
      <c r="E29" s="31">
        <v>-0.33564928053125698</v>
      </c>
      <c r="F29" s="31">
        <v>-0.120790557052251</v>
      </c>
      <c r="G29" s="32" t="s">
        <v>937</v>
      </c>
    </row>
    <row r="30" spans="1:7">
      <c r="A30" s="31">
        <v>2</v>
      </c>
      <c r="B30" s="31">
        <v>5</v>
      </c>
      <c r="C30">
        <v>5</v>
      </c>
      <c r="D30" s="32" t="s">
        <v>938</v>
      </c>
      <c r="E30" s="31">
        <v>-0.44702657835190301</v>
      </c>
      <c r="F30" s="31">
        <v>-8.1755809707377003E-2</v>
      </c>
      <c r="G30" s="31">
        <v>-8.4160905959524995E-2</v>
      </c>
    </row>
    <row r="31" spans="1:7">
      <c r="A31" s="31">
        <v>2</v>
      </c>
      <c r="B31" s="31">
        <v>8</v>
      </c>
      <c r="C31">
        <v>8</v>
      </c>
      <c r="D31" s="31">
        <v>-3.0936993375952002E-2</v>
      </c>
      <c r="E31" s="32" t="s">
        <v>939</v>
      </c>
      <c r="F31" s="32" t="s">
        <v>940</v>
      </c>
      <c r="G31" s="31">
        <v>-0.50937791051084402</v>
      </c>
    </row>
    <row r="32" spans="1:7">
      <c r="A32" s="31">
        <v>2</v>
      </c>
      <c r="B32" s="31">
        <v>5</v>
      </c>
      <c r="C32">
        <v>5</v>
      </c>
      <c r="D32" s="32" t="s">
        <v>941</v>
      </c>
      <c r="E32" s="31">
        <v>-0.20485635657026</v>
      </c>
      <c r="F32" s="32" t="s">
        <v>942</v>
      </c>
      <c r="G32" s="32" t="s">
        <v>943</v>
      </c>
    </row>
    <row r="33" spans="1:7">
      <c r="A33" s="31">
        <v>2</v>
      </c>
      <c r="B33" s="31">
        <v>7</v>
      </c>
      <c r="C33">
        <v>7</v>
      </c>
      <c r="D33" s="32" t="s">
        <v>944</v>
      </c>
      <c r="E33" s="31">
        <v>-3.3591019627160699</v>
      </c>
      <c r="F33" s="32" t="s">
        <v>945</v>
      </c>
      <c r="G33" s="31">
        <v>-1.57218675052338</v>
      </c>
    </row>
    <row r="34" spans="1:7">
      <c r="A34" s="31">
        <v>2</v>
      </c>
      <c r="B34" s="31">
        <v>7</v>
      </c>
      <c r="C34">
        <v>7</v>
      </c>
      <c r="D34" s="32" t="s">
        <v>946</v>
      </c>
      <c r="E34" s="31">
        <v>-0.67532188106385804</v>
      </c>
      <c r="F34" s="31">
        <v>-6.1760553844789998E-2</v>
      </c>
      <c r="G34" s="31">
        <v>-1.26913067041647</v>
      </c>
    </row>
    <row r="35" spans="1:7">
      <c r="A35" s="31">
        <v>2</v>
      </c>
      <c r="B35" s="31">
        <v>8</v>
      </c>
      <c r="C35">
        <v>8</v>
      </c>
      <c r="D35" s="32" t="s">
        <v>947</v>
      </c>
      <c r="E35" s="31">
        <v>-0.28974036752627602</v>
      </c>
      <c r="F35" s="32" t="s">
        <v>948</v>
      </c>
      <c r="G35" s="31">
        <v>-0.12738273516677101</v>
      </c>
    </row>
    <row r="36" spans="1:7">
      <c r="A36" s="31">
        <v>2</v>
      </c>
      <c r="B36" s="31">
        <v>5</v>
      </c>
      <c r="C36">
        <v>5</v>
      </c>
      <c r="D36" s="31">
        <v>-5.0409368747227301</v>
      </c>
      <c r="E36" s="31">
        <v>-0.736169176966744</v>
      </c>
      <c r="F36" s="32" t="s">
        <v>949</v>
      </c>
      <c r="G36" s="32" t="s">
        <v>950</v>
      </c>
    </row>
    <row r="37" spans="1:7">
      <c r="A37" s="31">
        <v>2</v>
      </c>
      <c r="B37" s="31">
        <v>8</v>
      </c>
      <c r="C37">
        <v>8</v>
      </c>
      <c r="D37" s="31">
        <v>-0.124484744359509</v>
      </c>
      <c r="E37" s="32" t="s">
        <v>951</v>
      </c>
      <c r="F37" s="32" t="s">
        <v>952</v>
      </c>
      <c r="G37" s="32" t="s">
        <v>953</v>
      </c>
    </row>
    <row r="38" spans="1:7">
      <c r="A38" s="31">
        <v>3</v>
      </c>
      <c r="B38" s="31">
        <v>7</v>
      </c>
      <c r="C38">
        <v>7</v>
      </c>
      <c r="D38" s="32" t="s">
        <v>954</v>
      </c>
      <c r="E38" s="31">
        <v>-0.21987661745071799</v>
      </c>
      <c r="F38" s="31">
        <v>-2.0694877864885202</v>
      </c>
      <c r="G38" s="31">
        <v>-0.487556743251227</v>
      </c>
    </row>
    <row r="39" spans="1:7">
      <c r="A39" s="31">
        <v>3</v>
      </c>
      <c r="B39" s="31">
        <v>7</v>
      </c>
      <c r="C39">
        <v>7</v>
      </c>
      <c r="D39" s="32" t="s">
        <v>955</v>
      </c>
      <c r="E39" s="31">
        <v>-0.45442934019903197</v>
      </c>
      <c r="F39" s="32" t="s">
        <v>956</v>
      </c>
      <c r="G39" s="32" t="s">
        <v>957</v>
      </c>
    </row>
    <row r="40" spans="1:7">
      <c r="A40" s="31">
        <v>3</v>
      </c>
      <c r="B40" s="31">
        <v>7</v>
      </c>
      <c r="C40">
        <v>7</v>
      </c>
      <c r="D40" s="31">
        <v>-5.8986396365485598</v>
      </c>
      <c r="E40" s="31">
        <v>-2.1708865493531402</v>
      </c>
      <c r="F40" s="31">
        <v>-1.09475182077447</v>
      </c>
      <c r="G40" s="31">
        <v>-1.3248860390175401</v>
      </c>
    </row>
    <row r="41" spans="1:7">
      <c r="A41" s="31">
        <v>3</v>
      </c>
      <c r="B41" s="31">
        <v>6</v>
      </c>
      <c r="C41">
        <v>6</v>
      </c>
      <c r="D41" s="32" t="s">
        <v>958</v>
      </c>
      <c r="E41" s="31">
        <v>-0.40679756927187699</v>
      </c>
      <c r="F41" s="31">
        <v>-0.88016949743975204</v>
      </c>
      <c r="G41" s="32" t="s">
        <v>959</v>
      </c>
    </row>
    <row r="42" spans="1:7">
      <c r="A42" s="31">
        <v>3</v>
      </c>
      <c r="B42" s="31">
        <v>6</v>
      </c>
      <c r="C42">
        <v>6</v>
      </c>
      <c r="D42" s="32" t="s">
        <v>960</v>
      </c>
      <c r="E42" s="32" t="s">
        <v>961</v>
      </c>
      <c r="F42" s="32" t="s">
        <v>962</v>
      </c>
      <c r="G42" s="31">
        <v>-0.36010683809619898</v>
      </c>
    </row>
    <row r="43" spans="1:7">
      <c r="A43" s="31">
        <v>3</v>
      </c>
      <c r="B43" s="31">
        <v>7</v>
      </c>
      <c r="C43">
        <v>7</v>
      </c>
      <c r="D43" s="32" t="s">
        <v>963</v>
      </c>
      <c r="E43" s="31">
        <v>-0.782398087997633</v>
      </c>
      <c r="F43" s="31">
        <v>-1.10224350554304</v>
      </c>
      <c r="G43" s="32" t="s">
        <v>964</v>
      </c>
    </row>
    <row r="44" spans="1:7">
      <c r="A44" s="31">
        <v>3</v>
      </c>
      <c r="B44" s="31">
        <v>7</v>
      </c>
      <c r="C44">
        <v>7</v>
      </c>
      <c r="D44" s="32" t="s">
        <v>965</v>
      </c>
      <c r="E44" s="32" t="s">
        <v>966</v>
      </c>
      <c r="F44" s="31">
        <v>-0.32131465171754803</v>
      </c>
      <c r="G44" s="32" t="s">
        <v>967</v>
      </c>
    </row>
    <row r="45" spans="1:7">
      <c r="A45" s="31">
        <v>3</v>
      </c>
      <c r="B45" s="31">
        <v>6</v>
      </c>
      <c r="C45">
        <v>6</v>
      </c>
      <c r="D45" s="31">
        <v>-0.29946965140369097</v>
      </c>
      <c r="E45" s="31">
        <v>-0.330796153870554</v>
      </c>
      <c r="F45" s="32" t="s">
        <v>968</v>
      </c>
      <c r="G45" s="32" t="s">
        <v>969</v>
      </c>
    </row>
    <row r="46" spans="1:7">
      <c r="A46" s="31">
        <v>3</v>
      </c>
      <c r="B46" s="31">
        <v>7</v>
      </c>
      <c r="C46">
        <v>7</v>
      </c>
      <c r="D46" s="31">
        <v>-0.106481427582333</v>
      </c>
      <c r="E46" s="31">
        <v>-0.36275769536041302</v>
      </c>
      <c r="F46" s="31">
        <v>-0.45769086149948401</v>
      </c>
      <c r="G46" s="32" t="s">
        <v>970</v>
      </c>
    </row>
    <row r="47" spans="1:7">
      <c r="A47" s="31">
        <v>3</v>
      </c>
      <c r="B47" s="31">
        <v>6</v>
      </c>
      <c r="C47">
        <v>6</v>
      </c>
      <c r="D47" s="32" t="s">
        <v>971</v>
      </c>
      <c r="E47" s="32" t="s">
        <v>972</v>
      </c>
      <c r="F47" s="31">
        <v>-1.14286105938376</v>
      </c>
      <c r="G47" s="32" t="s">
        <v>973</v>
      </c>
    </row>
    <row r="48" spans="1:7">
      <c r="A48" s="31">
        <v>3</v>
      </c>
      <c r="B48" s="31">
        <v>2</v>
      </c>
      <c r="C48">
        <v>2</v>
      </c>
      <c r="D48" s="32" t="s">
        <v>974</v>
      </c>
      <c r="E48" s="31">
        <v>-2.0807064377890199</v>
      </c>
      <c r="F48" s="32" t="s">
        <v>975</v>
      </c>
      <c r="G48" s="32" t="s">
        <v>976</v>
      </c>
    </row>
    <row r="49" spans="1:7">
      <c r="A49" s="31">
        <v>3</v>
      </c>
      <c r="B49" s="31">
        <v>6</v>
      </c>
      <c r="C49">
        <v>6</v>
      </c>
      <c r="D49" s="32" t="s">
        <v>977</v>
      </c>
      <c r="E49" s="32" t="s">
        <v>978</v>
      </c>
      <c r="F49" s="31">
        <v>-0.73890968682407498</v>
      </c>
      <c r="G49" s="31">
        <v>-0.45630952623955401</v>
      </c>
    </row>
    <row r="50" spans="1:7">
      <c r="A50" s="31">
        <v>3</v>
      </c>
      <c r="B50" s="31">
        <v>7</v>
      </c>
      <c r="C50">
        <v>7</v>
      </c>
      <c r="D50" s="31">
        <v>-6.4692246644299997E-3</v>
      </c>
      <c r="E50" s="31">
        <v>-3.0502292610756201</v>
      </c>
      <c r="F50" s="32" t="s">
        <v>979</v>
      </c>
      <c r="G50" s="31">
        <v>-5.6058848719353698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S1 Datalog+Results</vt:lpstr>
      <vt:lpstr>S2 Datalog + Results</vt:lpstr>
      <vt:lpstr>S3 Datalog + Results</vt:lpstr>
      <vt:lpstr>S4 Datalog + Results</vt:lpstr>
      <vt:lpstr>guodubiaoge</vt:lpstr>
      <vt:lpstr>Stat</vt:lpstr>
      <vt:lpstr>Stat H3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dc:creator>
  <cp:lastModifiedBy>0f3e57b8, 57516d21</cp:lastModifiedBy>
  <dcterms:created xsi:type="dcterms:W3CDTF">2026-01-14T21:21:42Z</dcterms:created>
  <dcterms:modified xsi:type="dcterms:W3CDTF">2026-02-26T15:49:09Z</dcterms:modified>
</cp:coreProperties>
</file>